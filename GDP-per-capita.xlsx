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s\Dropbox\RMIT work\Teaching\Economics of AI\Content\economic-growth-projection\"/>
    </mc:Choice>
  </mc:AlternateContent>
  <xr:revisionPtr revIDLastSave="0" documentId="13_ncr:1_{FA6D8824-E811-4B1C-BCF1-447407D5F9C2}" xr6:coauthVersionLast="47" xr6:coauthVersionMax="47" xr10:uidLastSave="{00000000-0000-0000-0000-000000000000}"/>
  <bookViews>
    <workbookView xWindow="-110" yWindow="-110" windowWidth="38620" windowHeight="21100" activeTab="1" xr2:uid="{0CAB2825-0D3D-40D2-9155-B23B4180D9EF}"/>
  </bookViews>
  <sheets>
    <sheet name="Data" sheetId="1" r:id="rId1"/>
    <sheet name="Work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9" i="2" l="1"/>
  <c r="E170" i="2"/>
  <c r="E171" i="2"/>
  <c r="E172" i="2"/>
  <c r="E173" i="2"/>
  <c r="E174" i="2"/>
  <c r="E175" i="2"/>
  <c r="E176" i="2"/>
  <c r="E177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" i="2"/>
  <c r="E4" i="2"/>
  <c r="E5" i="2"/>
  <c r="E6" i="2"/>
  <c r="E7" i="2"/>
  <c r="E8" i="2"/>
  <c r="E9" i="2"/>
  <c r="E10" i="2"/>
  <c r="E11" i="2"/>
  <c r="E12" i="2"/>
  <c r="E13" i="2"/>
  <c r="E2" i="2"/>
  <c r="B3" i="2"/>
  <c r="D3" i="2" s="1"/>
  <c r="D173" i="2"/>
  <c r="D174" i="2"/>
  <c r="D175" i="2"/>
  <c r="D176" i="2"/>
  <c r="D177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B177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" i="2"/>
  <c r="B172" i="2"/>
  <c r="B173" i="2"/>
  <c r="B174" i="2"/>
  <c r="B175" i="2"/>
  <c r="B176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55" i="2"/>
  <c r="A156" i="2"/>
  <c r="A157" i="2"/>
  <c r="A158" i="2"/>
  <c r="A159" i="2"/>
  <c r="A160" i="2"/>
  <c r="A161" i="2"/>
  <c r="A162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4" i="2"/>
  <c r="A5" i="2"/>
  <c r="A6" i="2"/>
  <c r="A7" i="2"/>
  <c r="A8" i="2"/>
  <c r="A9" i="2"/>
  <c r="A10" i="2"/>
  <c r="A11" i="2"/>
  <c r="A12" i="2"/>
  <c r="A3" i="2"/>
</calcChain>
</file>

<file path=xl/sharedStrings.xml><?xml version="1.0" encoding="utf-8"?>
<sst xmlns="http://schemas.openxmlformats.org/spreadsheetml/2006/main" count="25" uniqueCount="24">
  <si>
    <t>Estimated Resident Population (ERP) ;  Australia ;</t>
  </si>
  <si>
    <t>000</t>
  </si>
  <si>
    <t>Original</t>
  </si>
  <si>
    <t>STOCK_CLOSE</t>
  </si>
  <si>
    <t>Quarter</t>
  </si>
  <si>
    <t>A2133251W</t>
  </si>
  <si>
    <t>Unit</t>
  </si>
  <si>
    <t>Series Type</t>
  </si>
  <si>
    <t>Data Type</t>
  </si>
  <si>
    <t>Frequency</t>
  </si>
  <si>
    <t>Collection Month</t>
  </si>
  <si>
    <t>Series Start</t>
  </si>
  <si>
    <t>Series End</t>
  </si>
  <si>
    <t>No. Obs</t>
  </si>
  <si>
    <t>Series ID</t>
  </si>
  <si>
    <t>Gross domestic product: Chain volume measures ;</t>
  </si>
  <si>
    <t>$ Millions</t>
  </si>
  <si>
    <t>Seasonally Adjusted</t>
  </si>
  <si>
    <t>DERIVED</t>
  </si>
  <si>
    <t>A2304402X</t>
  </si>
  <si>
    <t>Quarter date</t>
  </si>
  <si>
    <t>Population</t>
  </si>
  <si>
    <t>Per capita</t>
  </si>
  <si>
    <t>GDP millions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</si>
</sst>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* #,##0.00_-;\-&quot;$&quot;* #,##0.00_-;_-&quot;$&quot;* &quot;-&quot;??_-;_-@_-"/>
    <numFmt numFmtId="43" formatCode="_-* #,##0.00_-;\-* #,##0.00_-;_-* &quot;-&quot;??_-;_-@_-"/>
    <numFmt numFmtId="164" formatCode="mmm\-yyyy"/>
    <numFmt numFmtId="165" formatCode="0.0;\-0.0;0.0;@"/>
    <numFmt numFmtId="166" formatCode="0;\-0;0;@"/>
    <numFmt numFmtId="175" formatCode="_-* #,##0_-;\-* #,##0_-;_-* &quot;-&quot;??_-;_-@_-"/>
    <numFmt numFmtId="177" formatCode="_-&quot;$&quot;* #,##0_-;\-&quot;$&quot;* #,##0_-;_-&quot;$&quot;* &quot;-&quot;??_-;_-@_-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166" fontId="2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0" fontId="1" fillId="0" borderId="0" xfId="0" applyFont="1"/>
    <xf numFmtId="0" fontId="0" fillId="0" borderId="0" xfId="0" quotePrefix="1" applyAlignment="1">
      <alignment horizontal="right"/>
    </xf>
    <xf numFmtId="0" fontId="0" fillId="0" borderId="0" xfId="0" applyAlignment="1">
      <alignment horizontal="right"/>
    </xf>
    <xf numFmtId="164" fontId="1" fillId="0" borderId="0" xfId="0" applyNumberFormat="1" applyFont="1"/>
    <xf numFmtId="164" fontId="0" fillId="0" borderId="0" xfId="0" applyNumberFormat="1"/>
    <xf numFmtId="164" fontId="0" fillId="0" borderId="0" xfId="0" applyNumberFormat="1" applyAlignment="1">
      <alignment horizontal="left"/>
    </xf>
    <xf numFmtId="165" fontId="0" fillId="0" borderId="0" xfId="0" applyNumberFormat="1"/>
    <xf numFmtId="166" fontId="0" fillId="0" borderId="0" xfId="0" applyNumberFormat="1"/>
    <xf numFmtId="14" fontId="0" fillId="0" borderId="0" xfId="0" applyNumberFormat="1"/>
    <xf numFmtId="175" fontId="0" fillId="0" borderId="0" xfId="1" applyNumberFormat="1" applyFont="1"/>
    <xf numFmtId="177" fontId="0" fillId="0" borderId="0" xfId="2" applyNumberFormat="1" applyFont="1"/>
    <xf numFmtId="177" fontId="0" fillId="0" borderId="0" xfId="2" applyNumberFormat="1" applyFont="1" applyAlignment="1">
      <alignment horizontal="left" indent="2"/>
    </xf>
  </cellXfs>
  <cellStyles count="3">
    <cellStyle name="Comma" xfId="1" builtinId="3"/>
    <cellStyle name="Currency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73E46-E3E6-4125-8932-59AC85292F0A}">
  <dimension ref="A1:C187"/>
  <sheetViews>
    <sheetView workbookViewId="0">
      <selection activeCell="C185" sqref="C185"/>
    </sheetView>
  </sheetViews>
  <sheetFormatPr defaultRowHeight="14.5" x14ac:dyDescent="0.35"/>
  <cols>
    <col min="1" max="1" width="18.90625" customWidth="1"/>
    <col min="2" max="2" width="16.08984375" customWidth="1"/>
    <col min="3" max="3" width="13.7265625" style="1" customWidth="1"/>
  </cols>
  <sheetData>
    <row r="1" spans="1:3" ht="58" x14ac:dyDescent="0.35">
      <c r="A1" s="3"/>
      <c r="B1" s="4" t="s">
        <v>0</v>
      </c>
      <c r="C1" s="4" t="s">
        <v>15</v>
      </c>
    </row>
    <row r="2" spans="1:3" x14ac:dyDescent="0.35">
      <c r="A2" s="5" t="s">
        <v>6</v>
      </c>
      <c r="B2" s="6" t="s">
        <v>1</v>
      </c>
      <c r="C2" s="7" t="s">
        <v>16</v>
      </c>
    </row>
    <row r="3" spans="1:3" x14ac:dyDescent="0.35">
      <c r="A3" s="5" t="s">
        <v>7</v>
      </c>
      <c r="B3" s="7" t="s">
        <v>2</v>
      </c>
      <c r="C3" s="7" t="s">
        <v>17</v>
      </c>
    </row>
    <row r="4" spans="1:3" x14ac:dyDescent="0.35">
      <c r="A4" s="5" t="s">
        <v>8</v>
      </c>
      <c r="B4" s="7" t="s">
        <v>3</v>
      </c>
      <c r="C4" s="7" t="s">
        <v>18</v>
      </c>
    </row>
    <row r="5" spans="1:3" x14ac:dyDescent="0.35">
      <c r="A5" s="5" t="s">
        <v>9</v>
      </c>
      <c r="B5" s="7" t="s">
        <v>4</v>
      </c>
      <c r="C5" s="7" t="s">
        <v>4</v>
      </c>
    </row>
    <row r="6" spans="1:3" x14ac:dyDescent="0.35">
      <c r="A6" s="5" t="s">
        <v>10</v>
      </c>
      <c r="B6">
        <v>3</v>
      </c>
      <c r="C6">
        <v>3</v>
      </c>
    </row>
    <row r="7" spans="1:3" x14ac:dyDescent="0.35">
      <c r="A7" s="8" t="s">
        <v>11</v>
      </c>
      <c r="B7" s="9">
        <v>29738</v>
      </c>
      <c r="C7" s="9">
        <v>21794</v>
      </c>
    </row>
    <row r="8" spans="1:3" x14ac:dyDescent="0.35">
      <c r="A8" s="8" t="s">
        <v>12</v>
      </c>
      <c r="B8" s="9">
        <v>45627</v>
      </c>
      <c r="C8" s="9">
        <v>45809</v>
      </c>
    </row>
    <row r="9" spans="1:3" x14ac:dyDescent="0.35">
      <c r="A9" s="5" t="s">
        <v>13</v>
      </c>
      <c r="B9">
        <v>175</v>
      </c>
      <c r="C9">
        <v>264</v>
      </c>
    </row>
    <row r="10" spans="1:3" x14ac:dyDescent="0.35">
      <c r="A10" s="5" t="s">
        <v>14</v>
      </c>
      <c r="B10" s="7" t="s">
        <v>5</v>
      </c>
      <c r="C10" s="7" t="s">
        <v>19</v>
      </c>
    </row>
    <row r="11" spans="1:3" x14ac:dyDescent="0.35">
      <c r="A11" s="10">
        <v>29738</v>
      </c>
      <c r="B11" s="11">
        <v>14923.3</v>
      </c>
      <c r="C11" s="12">
        <v>185581</v>
      </c>
    </row>
    <row r="12" spans="1:3" x14ac:dyDescent="0.35">
      <c r="A12" s="10">
        <v>29830</v>
      </c>
      <c r="B12" s="11">
        <v>14988.7</v>
      </c>
      <c r="C12" s="12">
        <v>189325</v>
      </c>
    </row>
    <row r="13" spans="1:3" x14ac:dyDescent="0.35">
      <c r="A13" s="10">
        <v>29921</v>
      </c>
      <c r="B13" s="11">
        <v>15054.1</v>
      </c>
      <c r="C13" s="12">
        <v>188546</v>
      </c>
    </row>
    <row r="14" spans="1:3" x14ac:dyDescent="0.35">
      <c r="A14" s="10">
        <v>30011</v>
      </c>
      <c r="B14" s="11">
        <v>15121.7</v>
      </c>
      <c r="C14" s="12">
        <v>187041</v>
      </c>
    </row>
    <row r="15" spans="1:3" x14ac:dyDescent="0.35">
      <c r="A15" s="10">
        <v>30103</v>
      </c>
      <c r="B15" s="11">
        <v>15184.2</v>
      </c>
      <c r="C15" s="12">
        <v>188701</v>
      </c>
    </row>
    <row r="16" spans="1:3" x14ac:dyDescent="0.35">
      <c r="A16" s="10">
        <v>30195</v>
      </c>
      <c r="B16" s="11">
        <v>15239.3</v>
      </c>
      <c r="C16" s="12">
        <v>187456</v>
      </c>
    </row>
    <row r="17" spans="1:3" x14ac:dyDescent="0.35">
      <c r="A17" s="10">
        <v>30286</v>
      </c>
      <c r="B17" s="11">
        <v>15288.9</v>
      </c>
      <c r="C17" s="12">
        <v>184440</v>
      </c>
    </row>
    <row r="18" spans="1:3" x14ac:dyDescent="0.35">
      <c r="A18" s="10">
        <v>30376</v>
      </c>
      <c r="B18" s="11">
        <v>15346.2</v>
      </c>
      <c r="C18" s="12">
        <v>182664</v>
      </c>
    </row>
    <row r="19" spans="1:3" x14ac:dyDescent="0.35">
      <c r="A19" s="10">
        <v>30468</v>
      </c>
      <c r="B19" s="11">
        <v>15393.5</v>
      </c>
      <c r="C19" s="12">
        <v>182290</v>
      </c>
    </row>
    <row r="20" spans="1:3" x14ac:dyDescent="0.35">
      <c r="A20" s="10">
        <v>30560</v>
      </c>
      <c r="B20" s="11">
        <v>15439</v>
      </c>
      <c r="C20" s="12">
        <v>187400</v>
      </c>
    </row>
    <row r="21" spans="1:3" x14ac:dyDescent="0.35">
      <c r="A21" s="10">
        <v>30651</v>
      </c>
      <c r="B21" s="11">
        <v>15483.5</v>
      </c>
      <c r="C21" s="12">
        <v>190565</v>
      </c>
    </row>
    <row r="22" spans="1:3" x14ac:dyDescent="0.35">
      <c r="A22" s="10">
        <v>30742</v>
      </c>
      <c r="B22" s="11">
        <v>15531.5</v>
      </c>
      <c r="C22" s="12">
        <v>195227</v>
      </c>
    </row>
    <row r="23" spans="1:3" x14ac:dyDescent="0.35">
      <c r="A23" s="10">
        <v>30834</v>
      </c>
      <c r="B23" s="11">
        <v>15579.4</v>
      </c>
      <c r="C23" s="12">
        <v>197508</v>
      </c>
    </row>
    <row r="24" spans="1:3" x14ac:dyDescent="0.35">
      <c r="A24" s="10">
        <v>30926</v>
      </c>
      <c r="B24" s="11">
        <v>15628.5</v>
      </c>
      <c r="C24" s="12">
        <v>199326</v>
      </c>
    </row>
    <row r="25" spans="1:3" x14ac:dyDescent="0.35">
      <c r="A25" s="10">
        <v>31017</v>
      </c>
      <c r="B25" s="11">
        <v>15677.3</v>
      </c>
      <c r="C25" s="12">
        <v>200529</v>
      </c>
    </row>
    <row r="26" spans="1:3" x14ac:dyDescent="0.35">
      <c r="A26" s="10">
        <v>31107</v>
      </c>
      <c r="B26" s="11">
        <v>15736.7</v>
      </c>
      <c r="C26" s="12">
        <v>203488</v>
      </c>
    </row>
    <row r="27" spans="1:3" x14ac:dyDescent="0.35">
      <c r="A27" s="10">
        <v>31199</v>
      </c>
      <c r="B27" s="11">
        <v>15788.3</v>
      </c>
      <c r="C27" s="12">
        <v>208037</v>
      </c>
    </row>
    <row r="28" spans="1:3" x14ac:dyDescent="0.35">
      <c r="A28" s="10">
        <v>31291</v>
      </c>
      <c r="B28" s="11">
        <v>15839.7</v>
      </c>
      <c r="C28" s="12">
        <v>210704</v>
      </c>
    </row>
    <row r="29" spans="1:3" x14ac:dyDescent="0.35">
      <c r="A29" s="10">
        <v>31382</v>
      </c>
      <c r="B29" s="11">
        <v>15900.6</v>
      </c>
      <c r="C29" s="12">
        <v>210115</v>
      </c>
    </row>
    <row r="30" spans="1:3" x14ac:dyDescent="0.35">
      <c r="A30" s="10">
        <v>31472</v>
      </c>
      <c r="B30" s="11">
        <v>15961.5</v>
      </c>
      <c r="C30" s="12">
        <v>211563</v>
      </c>
    </row>
    <row r="31" spans="1:3" x14ac:dyDescent="0.35">
      <c r="A31" s="10">
        <v>31564</v>
      </c>
      <c r="B31" s="11">
        <v>16018.4</v>
      </c>
      <c r="C31" s="12">
        <v>211180</v>
      </c>
    </row>
    <row r="32" spans="1:3" x14ac:dyDescent="0.35">
      <c r="A32" s="10">
        <v>31656</v>
      </c>
      <c r="B32" s="11">
        <v>16075</v>
      </c>
      <c r="C32" s="12">
        <v>211736</v>
      </c>
    </row>
    <row r="33" spans="1:3" x14ac:dyDescent="0.35">
      <c r="A33" s="10">
        <v>31747</v>
      </c>
      <c r="B33" s="11">
        <v>16138.8</v>
      </c>
      <c r="C33" s="12">
        <v>215228</v>
      </c>
    </row>
    <row r="34" spans="1:3" x14ac:dyDescent="0.35">
      <c r="A34" s="10">
        <v>31837</v>
      </c>
      <c r="B34" s="11">
        <v>16204</v>
      </c>
      <c r="C34" s="12">
        <v>217362</v>
      </c>
    </row>
    <row r="35" spans="1:3" x14ac:dyDescent="0.35">
      <c r="A35" s="10">
        <v>31929</v>
      </c>
      <c r="B35" s="11">
        <v>16263.9</v>
      </c>
      <c r="C35" s="12">
        <v>220828</v>
      </c>
    </row>
    <row r="36" spans="1:3" x14ac:dyDescent="0.35">
      <c r="A36" s="10">
        <v>32021</v>
      </c>
      <c r="B36" s="11">
        <v>16328.9</v>
      </c>
      <c r="C36" s="12">
        <v>224806</v>
      </c>
    </row>
    <row r="37" spans="1:3" x14ac:dyDescent="0.35">
      <c r="A37" s="10">
        <v>32112</v>
      </c>
      <c r="B37" s="11">
        <v>16394.599999999999</v>
      </c>
      <c r="C37" s="12">
        <v>229354</v>
      </c>
    </row>
    <row r="38" spans="1:3" x14ac:dyDescent="0.35">
      <c r="A38" s="10">
        <v>32203</v>
      </c>
      <c r="B38" s="11">
        <v>16471.8</v>
      </c>
      <c r="C38" s="12">
        <v>230290</v>
      </c>
    </row>
    <row r="39" spans="1:3" x14ac:dyDescent="0.35">
      <c r="A39" s="10">
        <v>32295</v>
      </c>
      <c r="B39" s="11">
        <v>16532.2</v>
      </c>
      <c r="C39" s="12">
        <v>230518</v>
      </c>
    </row>
    <row r="40" spans="1:3" x14ac:dyDescent="0.35">
      <c r="A40" s="10">
        <v>32387</v>
      </c>
      <c r="B40" s="11">
        <v>16612.599999999999</v>
      </c>
      <c r="C40" s="12">
        <v>232362</v>
      </c>
    </row>
    <row r="41" spans="1:3" x14ac:dyDescent="0.35">
      <c r="A41" s="10">
        <v>32478</v>
      </c>
      <c r="B41" s="11">
        <v>16687.099999999999</v>
      </c>
      <c r="C41" s="12">
        <v>236148</v>
      </c>
    </row>
    <row r="42" spans="1:3" x14ac:dyDescent="0.35">
      <c r="A42" s="10">
        <v>32568</v>
      </c>
      <c r="B42" s="11">
        <v>16764</v>
      </c>
      <c r="C42" s="12">
        <v>238353</v>
      </c>
    </row>
    <row r="43" spans="1:3" x14ac:dyDescent="0.35">
      <c r="A43" s="10">
        <v>32660</v>
      </c>
      <c r="B43" s="11">
        <v>16814.400000000001</v>
      </c>
      <c r="C43" s="12">
        <v>243544</v>
      </c>
    </row>
    <row r="44" spans="1:3" x14ac:dyDescent="0.35">
      <c r="A44" s="10">
        <v>32752</v>
      </c>
      <c r="B44" s="11">
        <v>16872</v>
      </c>
      <c r="C44" s="12">
        <v>245578</v>
      </c>
    </row>
    <row r="45" spans="1:3" x14ac:dyDescent="0.35">
      <c r="A45" s="10">
        <v>32843</v>
      </c>
      <c r="B45" s="11">
        <v>16936.7</v>
      </c>
      <c r="C45" s="12">
        <v>244900</v>
      </c>
    </row>
    <row r="46" spans="1:3" x14ac:dyDescent="0.35">
      <c r="A46" s="10">
        <v>32933</v>
      </c>
      <c r="B46" s="11">
        <v>17005.599999999999</v>
      </c>
      <c r="C46" s="12">
        <v>246793</v>
      </c>
    </row>
    <row r="47" spans="1:3" x14ac:dyDescent="0.35">
      <c r="A47" s="10">
        <v>33025</v>
      </c>
      <c r="B47" s="11">
        <v>17065.099999999999</v>
      </c>
      <c r="C47" s="12">
        <v>247137</v>
      </c>
    </row>
    <row r="48" spans="1:3" x14ac:dyDescent="0.35">
      <c r="A48" s="10">
        <v>33117</v>
      </c>
      <c r="B48" s="11">
        <v>17121.099999999999</v>
      </c>
      <c r="C48" s="12">
        <v>245808</v>
      </c>
    </row>
    <row r="49" spans="1:3" x14ac:dyDescent="0.35">
      <c r="A49" s="10">
        <v>33208</v>
      </c>
      <c r="B49" s="11">
        <v>17169.8</v>
      </c>
      <c r="C49" s="12">
        <v>247163</v>
      </c>
    </row>
    <row r="50" spans="1:3" x14ac:dyDescent="0.35">
      <c r="A50" s="10">
        <v>33298</v>
      </c>
      <c r="B50" s="11">
        <v>17237.400000000001</v>
      </c>
      <c r="C50" s="12">
        <v>244057</v>
      </c>
    </row>
    <row r="51" spans="1:3" x14ac:dyDescent="0.35">
      <c r="A51" s="10">
        <v>33390</v>
      </c>
      <c r="B51" s="11">
        <v>17284</v>
      </c>
      <c r="C51" s="12">
        <v>243617</v>
      </c>
    </row>
    <row r="52" spans="1:3" x14ac:dyDescent="0.35">
      <c r="A52" s="10">
        <v>33482</v>
      </c>
      <c r="B52" s="11">
        <v>17338.900000000001</v>
      </c>
      <c r="C52" s="12">
        <v>244685</v>
      </c>
    </row>
    <row r="53" spans="1:3" x14ac:dyDescent="0.35">
      <c r="A53" s="10">
        <v>33573</v>
      </c>
      <c r="B53" s="11">
        <v>17379</v>
      </c>
      <c r="C53" s="12">
        <v>244851</v>
      </c>
    </row>
    <row r="54" spans="1:3" x14ac:dyDescent="0.35">
      <c r="A54" s="10">
        <v>33664</v>
      </c>
      <c r="B54" s="11">
        <v>17441.3</v>
      </c>
      <c r="C54" s="12">
        <v>246757</v>
      </c>
    </row>
    <row r="55" spans="1:3" x14ac:dyDescent="0.35">
      <c r="A55" s="10">
        <v>33756</v>
      </c>
      <c r="B55" s="11">
        <v>17478.599999999999</v>
      </c>
      <c r="C55" s="12">
        <v>248551</v>
      </c>
    </row>
    <row r="56" spans="1:3" x14ac:dyDescent="0.35">
      <c r="A56" s="10">
        <v>33848</v>
      </c>
      <c r="B56" s="11">
        <v>17523.3</v>
      </c>
      <c r="C56" s="12">
        <v>251001</v>
      </c>
    </row>
    <row r="57" spans="1:3" x14ac:dyDescent="0.35">
      <c r="A57" s="10">
        <v>33939</v>
      </c>
      <c r="B57" s="11">
        <v>17557.099999999999</v>
      </c>
      <c r="C57" s="12">
        <v>256223</v>
      </c>
    </row>
    <row r="58" spans="1:3" x14ac:dyDescent="0.35">
      <c r="A58" s="10">
        <v>34029</v>
      </c>
      <c r="B58" s="11">
        <v>17609.599999999999</v>
      </c>
      <c r="C58" s="12">
        <v>257994</v>
      </c>
    </row>
    <row r="59" spans="1:3" x14ac:dyDescent="0.35">
      <c r="A59" s="10">
        <v>34121</v>
      </c>
      <c r="B59" s="11">
        <v>17634.8</v>
      </c>
      <c r="C59" s="12">
        <v>259481</v>
      </c>
    </row>
    <row r="60" spans="1:3" x14ac:dyDescent="0.35">
      <c r="A60" s="10">
        <v>34213</v>
      </c>
      <c r="B60" s="11">
        <v>17683.7</v>
      </c>
      <c r="C60" s="12">
        <v>259814</v>
      </c>
    </row>
    <row r="61" spans="1:3" x14ac:dyDescent="0.35">
      <c r="A61" s="10">
        <v>34304</v>
      </c>
      <c r="B61" s="11">
        <v>17719.099999999999</v>
      </c>
      <c r="C61" s="12">
        <v>264555</v>
      </c>
    </row>
    <row r="62" spans="1:3" x14ac:dyDescent="0.35">
      <c r="A62" s="10">
        <v>34394</v>
      </c>
      <c r="B62" s="11">
        <v>17772.099999999999</v>
      </c>
      <c r="C62" s="12">
        <v>268955</v>
      </c>
    </row>
    <row r="63" spans="1:3" x14ac:dyDescent="0.35">
      <c r="A63" s="10">
        <v>34486</v>
      </c>
      <c r="B63" s="11">
        <v>17805.5</v>
      </c>
      <c r="C63" s="12">
        <v>272163</v>
      </c>
    </row>
    <row r="64" spans="1:3" x14ac:dyDescent="0.35">
      <c r="A64" s="10">
        <v>34578</v>
      </c>
      <c r="B64" s="11">
        <v>17859.3</v>
      </c>
      <c r="C64" s="12">
        <v>274227</v>
      </c>
    </row>
    <row r="65" spans="1:3" x14ac:dyDescent="0.35">
      <c r="A65" s="10">
        <v>34669</v>
      </c>
      <c r="B65" s="11">
        <v>17893.400000000001</v>
      </c>
      <c r="C65" s="12">
        <v>277283</v>
      </c>
    </row>
    <row r="66" spans="1:3" x14ac:dyDescent="0.35">
      <c r="A66" s="10">
        <v>34759</v>
      </c>
      <c r="B66" s="11">
        <v>17951.599999999999</v>
      </c>
      <c r="C66" s="12">
        <v>277045</v>
      </c>
    </row>
    <row r="67" spans="1:3" x14ac:dyDescent="0.35">
      <c r="A67" s="10">
        <v>34851</v>
      </c>
      <c r="B67" s="11">
        <v>18004.900000000001</v>
      </c>
      <c r="C67" s="12">
        <v>278335</v>
      </c>
    </row>
    <row r="68" spans="1:3" x14ac:dyDescent="0.35">
      <c r="A68" s="10">
        <v>34943</v>
      </c>
      <c r="B68" s="11">
        <v>18062.2</v>
      </c>
      <c r="C68" s="12">
        <v>284772</v>
      </c>
    </row>
    <row r="69" spans="1:3" x14ac:dyDescent="0.35">
      <c r="A69" s="10">
        <v>35034</v>
      </c>
      <c r="B69" s="11">
        <v>18119.599999999999</v>
      </c>
      <c r="C69" s="12">
        <v>284722</v>
      </c>
    </row>
    <row r="70" spans="1:3" x14ac:dyDescent="0.35">
      <c r="A70" s="10">
        <v>35125</v>
      </c>
      <c r="B70" s="11">
        <v>18176</v>
      </c>
      <c r="C70" s="12">
        <v>289162</v>
      </c>
    </row>
    <row r="71" spans="1:3" x14ac:dyDescent="0.35">
      <c r="A71" s="10">
        <v>35217</v>
      </c>
      <c r="B71" s="11">
        <v>18224.8</v>
      </c>
      <c r="C71" s="12">
        <v>291003</v>
      </c>
    </row>
    <row r="72" spans="1:3" x14ac:dyDescent="0.35">
      <c r="A72" s="10">
        <v>35309</v>
      </c>
      <c r="B72" s="11">
        <v>18281.3</v>
      </c>
      <c r="C72" s="12">
        <v>293303</v>
      </c>
    </row>
    <row r="73" spans="1:3" x14ac:dyDescent="0.35">
      <c r="A73" s="10">
        <v>35400</v>
      </c>
      <c r="B73" s="11">
        <v>18330.099999999999</v>
      </c>
      <c r="C73" s="12">
        <v>296092</v>
      </c>
    </row>
    <row r="74" spans="1:3" x14ac:dyDescent="0.35">
      <c r="A74" s="10">
        <v>35490</v>
      </c>
      <c r="B74" s="11">
        <v>18388.7</v>
      </c>
      <c r="C74" s="12">
        <v>298156</v>
      </c>
    </row>
    <row r="75" spans="1:3" x14ac:dyDescent="0.35">
      <c r="A75" s="10">
        <v>35582</v>
      </c>
      <c r="B75" s="11">
        <v>18423</v>
      </c>
      <c r="C75" s="12">
        <v>307097</v>
      </c>
    </row>
    <row r="76" spans="1:3" x14ac:dyDescent="0.35">
      <c r="A76" s="10">
        <v>35674</v>
      </c>
      <c r="B76" s="11">
        <v>18468.7</v>
      </c>
      <c r="C76" s="12">
        <v>307524</v>
      </c>
    </row>
    <row r="77" spans="1:3" x14ac:dyDescent="0.35">
      <c r="A77" s="10">
        <v>35765</v>
      </c>
      <c r="B77" s="11">
        <v>18510</v>
      </c>
      <c r="C77" s="12">
        <v>311905</v>
      </c>
    </row>
    <row r="78" spans="1:3" x14ac:dyDescent="0.35">
      <c r="A78" s="10">
        <v>35855</v>
      </c>
      <c r="B78" s="11">
        <v>18572.400000000001</v>
      </c>
      <c r="C78" s="12">
        <v>313855</v>
      </c>
    </row>
    <row r="79" spans="1:3" x14ac:dyDescent="0.35">
      <c r="A79" s="10">
        <v>35947</v>
      </c>
      <c r="B79" s="11">
        <v>18607.599999999999</v>
      </c>
      <c r="C79" s="12">
        <v>317073</v>
      </c>
    </row>
    <row r="80" spans="1:3" x14ac:dyDescent="0.35">
      <c r="A80" s="10">
        <v>36039</v>
      </c>
      <c r="B80" s="11">
        <v>18658.400000000001</v>
      </c>
      <c r="C80" s="12">
        <v>322971</v>
      </c>
    </row>
    <row r="81" spans="1:3" x14ac:dyDescent="0.35">
      <c r="A81" s="10">
        <v>36130</v>
      </c>
      <c r="B81" s="11">
        <v>18705.599999999999</v>
      </c>
      <c r="C81" s="12">
        <v>327990</v>
      </c>
    </row>
    <row r="82" spans="1:3" x14ac:dyDescent="0.35">
      <c r="A82" s="10">
        <v>36220</v>
      </c>
      <c r="B82" s="11">
        <v>18770.5</v>
      </c>
      <c r="C82" s="12">
        <v>330451</v>
      </c>
    </row>
    <row r="83" spans="1:3" x14ac:dyDescent="0.35">
      <c r="A83" s="10">
        <v>36312</v>
      </c>
      <c r="B83" s="11">
        <v>18812.3</v>
      </c>
      <c r="C83" s="12">
        <v>331809</v>
      </c>
    </row>
    <row r="84" spans="1:3" x14ac:dyDescent="0.35">
      <c r="A84" s="10">
        <v>36404</v>
      </c>
      <c r="B84" s="11">
        <v>18867.7</v>
      </c>
      <c r="C84" s="12">
        <v>335376</v>
      </c>
    </row>
    <row r="85" spans="1:3" x14ac:dyDescent="0.35">
      <c r="A85" s="10">
        <v>36495</v>
      </c>
      <c r="B85" s="11">
        <v>18919.2</v>
      </c>
      <c r="C85" s="12">
        <v>341130</v>
      </c>
    </row>
    <row r="86" spans="1:3" x14ac:dyDescent="0.35">
      <c r="A86" s="10">
        <v>36586</v>
      </c>
      <c r="B86" s="11">
        <v>18986.7</v>
      </c>
      <c r="C86" s="12">
        <v>342429</v>
      </c>
    </row>
    <row r="87" spans="1:3" x14ac:dyDescent="0.35">
      <c r="A87" s="10">
        <v>36678</v>
      </c>
      <c r="B87" s="11">
        <v>19028.8</v>
      </c>
      <c r="C87" s="12">
        <v>345785</v>
      </c>
    </row>
    <row r="88" spans="1:3" x14ac:dyDescent="0.35">
      <c r="A88" s="10">
        <v>36770</v>
      </c>
      <c r="B88" s="11">
        <v>19086</v>
      </c>
      <c r="C88" s="12">
        <v>346667</v>
      </c>
    </row>
    <row r="89" spans="1:3" x14ac:dyDescent="0.35">
      <c r="A89" s="10">
        <v>36861</v>
      </c>
      <c r="B89" s="11">
        <v>19141</v>
      </c>
      <c r="C89" s="12">
        <v>345370</v>
      </c>
    </row>
    <row r="90" spans="1:3" x14ac:dyDescent="0.35">
      <c r="A90" s="10">
        <v>36951</v>
      </c>
      <c r="B90" s="11">
        <v>19225.2</v>
      </c>
      <c r="C90" s="12">
        <v>348597</v>
      </c>
    </row>
    <row r="91" spans="1:3" x14ac:dyDescent="0.35">
      <c r="A91" s="10">
        <v>37043</v>
      </c>
      <c r="B91" s="11">
        <v>19274.7</v>
      </c>
      <c r="C91" s="12">
        <v>351723</v>
      </c>
    </row>
    <row r="92" spans="1:3" x14ac:dyDescent="0.35">
      <c r="A92" s="10">
        <v>37135</v>
      </c>
      <c r="B92" s="11">
        <v>19329.099999999999</v>
      </c>
      <c r="C92" s="12">
        <v>355815</v>
      </c>
    </row>
    <row r="93" spans="1:3" x14ac:dyDescent="0.35">
      <c r="A93" s="10">
        <v>37226</v>
      </c>
      <c r="B93" s="11">
        <v>19386.5</v>
      </c>
      <c r="C93" s="12">
        <v>360014</v>
      </c>
    </row>
    <row r="94" spans="1:3" x14ac:dyDescent="0.35">
      <c r="A94" s="10">
        <v>37316</v>
      </c>
      <c r="B94" s="11">
        <v>19453.400000000001</v>
      </c>
      <c r="C94" s="12">
        <v>362850</v>
      </c>
    </row>
    <row r="95" spans="1:3" x14ac:dyDescent="0.35">
      <c r="A95" s="10">
        <v>37408</v>
      </c>
      <c r="B95" s="11">
        <v>19495.2</v>
      </c>
      <c r="C95" s="12">
        <v>369088</v>
      </c>
    </row>
    <row r="96" spans="1:3" x14ac:dyDescent="0.35">
      <c r="A96" s="10">
        <v>37500</v>
      </c>
      <c r="B96" s="11">
        <v>19548.900000000001</v>
      </c>
      <c r="C96" s="12">
        <v>369994</v>
      </c>
    </row>
    <row r="97" spans="1:3" x14ac:dyDescent="0.35">
      <c r="A97" s="10">
        <v>37591</v>
      </c>
      <c r="B97" s="11">
        <v>19605.400000000001</v>
      </c>
      <c r="C97" s="12">
        <v>373116</v>
      </c>
    </row>
    <row r="98" spans="1:3" x14ac:dyDescent="0.35">
      <c r="A98" s="10">
        <v>37681</v>
      </c>
      <c r="B98" s="11">
        <v>19676.599999999999</v>
      </c>
      <c r="C98" s="12">
        <v>373942</v>
      </c>
    </row>
    <row r="99" spans="1:3" x14ac:dyDescent="0.35">
      <c r="A99" s="10">
        <v>37773</v>
      </c>
      <c r="B99" s="11">
        <v>19720.7</v>
      </c>
      <c r="C99" s="12">
        <v>375461</v>
      </c>
    </row>
    <row r="100" spans="1:3" x14ac:dyDescent="0.35">
      <c r="A100" s="10">
        <v>37865</v>
      </c>
      <c r="B100" s="11">
        <v>19773.400000000001</v>
      </c>
      <c r="C100" s="12">
        <v>381826</v>
      </c>
    </row>
    <row r="101" spans="1:3" x14ac:dyDescent="0.35">
      <c r="A101" s="10">
        <v>37956</v>
      </c>
      <c r="B101" s="11">
        <v>19827.2</v>
      </c>
      <c r="C101" s="12">
        <v>388299</v>
      </c>
    </row>
    <row r="102" spans="1:3" x14ac:dyDescent="0.35">
      <c r="A102" s="10">
        <v>38047</v>
      </c>
      <c r="B102" s="11">
        <v>19894.099999999999</v>
      </c>
      <c r="C102" s="12">
        <v>391260</v>
      </c>
    </row>
    <row r="103" spans="1:3" x14ac:dyDescent="0.35">
      <c r="A103" s="10">
        <v>38139</v>
      </c>
      <c r="B103" s="11">
        <v>19932.7</v>
      </c>
      <c r="C103" s="12">
        <v>394177</v>
      </c>
    </row>
    <row r="104" spans="1:3" x14ac:dyDescent="0.35">
      <c r="A104" s="10">
        <v>38231</v>
      </c>
      <c r="B104" s="11">
        <v>19989.7</v>
      </c>
      <c r="C104" s="12">
        <v>396780</v>
      </c>
    </row>
    <row r="105" spans="1:3" x14ac:dyDescent="0.35">
      <c r="A105" s="10">
        <v>38322</v>
      </c>
      <c r="B105" s="11">
        <v>20046</v>
      </c>
      <c r="C105" s="12">
        <v>399816</v>
      </c>
    </row>
    <row r="106" spans="1:3" x14ac:dyDescent="0.35">
      <c r="A106" s="10">
        <v>38412</v>
      </c>
      <c r="B106" s="11">
        <v>20126.599999999999</v>
      </c>
      <c r="C106" s="12">
        <v>403116</v>
      </c>
    </row>
    <row r="107" spans="1:3" x14ac:dyDescent="0.35">
      <c r="A107" s="10">
        <v>38504</v>
      </c>
      <c r="B107" s="11">
        <v>20176.8</v>
      </c>
      <c r="C107" s="12">
        <v>404914</v>
      </c>
    </row>
    <row r="108" spans="1:3" x14ac:dyDescent="0.35">
      <c r="A108" s="10">
        <v>38596</v>
      </c>
      <c r="B108" s="11">
        <v>20244.7</v>
      </c>
      <c r="C108" s="12">
        <v>409258</v>
      </c>
    </row>
    <row r="109" spans="1:3" x14ac:dyDescent="0.35">
      <c r="A109" s="10">
        <v>38687</v>
      </c>
      <c r="B109" s="11">
        <v>20311.5</v>
      </c>
      <c r="C109" s="12">
        <v>412675</v>
      </c>
    </row>
    <row r="110" spans="1:3" x14ac:dyDescent="0.35">
      <c r="A110" s="10">
        <v>38777</v>
      </c>
      <c r="B110" s="11">
        <v>20398.099999999999</v>
      </c>
      <c r="C110" s="12">
        <v>412947</v>
      </c>
    </row>
    <row r="111" spans="1:3" x14ac:dyDescent="0.35">
      <c r="A111" s="10">
        <v>38869</v>
      </c>
      <c r="B111" s="11">
        <v>20451</v>
      </c>
      <c r="C111" s="12">
        <v>413958</v>
      </c>
    </row>
    <row r="112" spans="1:3" x14ac:dyDescent="0.35">
      <c r="A112" s="10">
        <v>38961</v>
      </c>
      <c r="B112" s="11">
        <v>20542.3</v>
      </c>
      <c r="C112" s="12">
        <v>420229</v>
      </c>
    </row>
    <row r="113" spans="1:3" x14ac:dyDescent="0.35">
      <c r="A113" s="10">
        <v>39052</v>
      </c>
      <c r="B113" s="11">
        <v>20627.5</v>
      </c>
      <c r="C113" s="12">
        <v>425525</v>
      </c>
    </row>
    <row r="114" spans="1:3" x14ac:dyDescent="0.35">
      <c r="A114" s="10">
        <v>39142</v>
      </c>
      <c r="B114" s="11">
        <v>20742.8</v>
      </c>
      <c r="C114" s="12">
        <v>431301</v>
      </c>
    </row>
    <row r="115" spans="1:3" x14ac:dyDescent="0.35">
      <c r="A115" s="10">
        <v>39234</v>
      </c>
      <c r="B115" s="11">
        <v>20827.599999999999</v>
      </c>
      <c r="C115" s="12">
        <v>434000</v>
      </c>
    </row>
    <row r="116" spans="1:3" x14ac:dyDescent="0.35">
      <c r="A116" s="10">
        <v>39326</v>
      </c>
      <c r="B116" s="11">
        <v>20924.2</v>
      </c>
      <c r="C116" s="12">
        <v>439198</v>
      </c>
    </row>
    <row r="117" spans="1:3" x14ac:dyDescent="0.35">
      <c r="A117" s="10">
        <v>39417</v>
      </c>
      <c r="B117" s="11">
        <v>21016.1</v>
      </c>
      <c r="C117" s="12">
        <v>440742</v>
      </c>
    </row>
    <row r="118" spans="1:3" x14ac:dyDescent="0.35">
      <c r="A118" s="10">
        <v>39508</v>
      </c>
      <c r="B118" s="11">
        <v>21148.9</v>
      </c>
      <c r="C118" s="12">
        <v>445533</v>
      </c>
    </row>
    <row r="119" spans="1:3" x14ac:dyDescent="0.35">
      <c r="A119" s="10">
        <v>39600</v>
      </c>
      <c r="B119" s="11">
        <v>21249.200000000001</v>
      </c>
      <c r="C119" s="12">
        <v>446944</v>
      </c>
    </row>
    <row r="120" spans="1:3" x14ac:dyDescent="0.35">
      <c r="A120" s="10">
        <v>39692</v>
      </c>
      <c r="B120" s="11">
        <v>21366</v>
      </c>
      <c r="C120" s="12">
        <v>449968</v>
      </c>
    </row>
    <row r="121" spans="1:3" x14ac:dyDescent="0.35">
      <c r="A121" s="10">
        <v>39783</v>
      </c>
      <c r="B121" s="11">
        <v>21475.599999999999</v>
      </c>
      <c r="C121" s="12">
        <v>448082</v>
      </c>
    </row>
    <row r="122" spans="1:3" x14ac:dyDescent="0.35">
      <c r="A122" s="10">
        <v>39873</v>
      </c>
      <c r="B122" s="11">
        <v>21601.7</v>
      </c>
      <c r="C122" s="12">
        <v>452515</v>
      </c>
    </row>
    <row r="123" spans="1:3" x14ac:dyDescent="0.35">
      <c r="A123" s="10">
        <v>39965</v>
      </c>
      <c r="B123" s="11">
        <v>21691.7</v>
      </c>
      <c r="C123" s="12">
        <v>455398</v>
      </c>
    </row>
    <row r="124" spans="1:3" x14ac:dyDescent="0.35">
      <c r="A124" s="10">
        <v>40057</v>
      </c>
      <c r="B124" s="11">
        <v>21788.1</v>
      </c>
      <c r="C124" s="12">
        <v>457039</v>
      </c>
    </row>
    <row r="125" spans="1:3" x14ac:dyDescent="0.35">
      <c r="A125" s="10">
        <v>40148</v>
      </c>
      <c r="B125" s="11">
        <v>21865.599999999999</v>
      </c>
      <c r="C125" s="12">
        <v>460734</v>
      </c>
    </row>
    <row r="126" spans="1:3" x14ac:dyDescent="0.35">
      <c r="A126" s="10">
        <v>40238</v>
      </c>
      <c r="B126" s="11">
        <v>21964.1</v>
      </c>
      <c r="C126" s="12">
        <v>462743</v>
      </c>
    </row>
    <row r="127" spans="1:3" x14ac:dyDescent="0.35">
      <c r="A127" s="10">
        <v>40330</v>
      </c>
      <c r="B127" s="11">
        <v>22031.8</v>
      </c>
      <c r="C127" s="12">
        <v>465538</v>
      </c>
    </row>
    <row r="128" spans="1:3" x14ac:dyDescent="0.35">
      <c r="A128" s="10">
        <v>40422</v>
      </c>
      <c r="B128" s="11">
        <v>22104.400000000001</v>
      </c>
      <c r="C128" s="12">
        <v>468872</v>
      </c>
    </row>
    <row r="129" spans="1:3" x14ac:dyDescent="0.35">
      <c r="A129" s="10">
        <v>40513</v>
      </c>
      <c r="B129" s="11">
        <v>22172.5</v>
      </c>
      <c r="C129" s="12">
        <v>472702</v>
      </c>
    </row>
    <row r="130" spans="1:3" x14ac:dyDescent="0.35">
      <c r="A130" s="10">
        <v>40603</v>
      </c>
      <c r="B130" s="11">
        <v>22268.799999999999</v>
      </c>
      <c r="C130" s="12">
        <v>471677</v>
      </c>
    </row>
    <row r="131" spans="1:3" x14ac:dyDescent="0.35">
      <c r="A131" s="10">
        <v>40695</v>
      </c>
      <c r="B131" s="11">
        <v>22340</v>
      </c>
      <c r="C131" s="12">
        <v>477239</v>
      </c>
    </row>
    <row r="132" spans="1:3" x14ac:dyDescent="0.35">
      <c r="A132" s="10">
        <v>40787</v>
      </c>
      <c r="B132" s="11">
        <v>22432.799999999999</v>
      </c>
      <c r="C132" s="12">
        <v>483880</v>
      </c>
    </row>
    <row r="133" spans="1:3" x14ac:dyDescent="0.35">
      <c r="A133" s="10">
        <v>40878</v>
      </c>
      <c r="B133" s="11">
        <v>22522.2</v>
      </c>
      <c r="C133" s="12">
        <v>489143</v>
      </c>
    </row>
    <row r="134" spans="1:3" x14ac:dyDescent="0.35">
      <c r="A134" s="10">
        <v>40969</v>
      </c>
      <c r="B134" s="11">
        <v>22640.9</v>
      </c>
      <c r="C134" s="12">
        <v>494028</v>
      </c>
    </row>
    <row r="135" spans="1:3" x14ac:dyDescent="0.35">
      <c r="A135" s="10">
        <v>41061</v>
      </c>
      <c r="B135" s="11">
        <v>22733.5</v>
      </c>
      <c r="C135" s="12">
        <v>497484</v>
      </c>
    </row>
    <row r="136" spans="1:3" x14ac:dyDescent="0.35">
      <c r="A136" s="10">
        <v>41153</v>
      </c>
      <c r="B136" s="11">
        <v>22833.9</v>
      </c>
      <c r="C136" s="12">
        <v>500603</v>
      </c>
    </row>
    <row r="137" spans="1:3" x14ac:dyDescent="0.35">
      <c r="A137" s="10">
        <v>41244</v>
      </c>
      <c r="B137" s="11">
        <v>22928</v>
      </c>
      <c r="C137" s="12">
        <v>502644</v>
      </c>
    </row>
    <row r="138" spans="1:3" x14ac:dyDescent="0.35">
      <c r="A138" s="10">
        <v>41334</v>
      </c>
      <c r="B138" s="11">
        <v>23043</v>
      </c>
      <c r="C138" s="12">
        <v>505267</v>
      </c>
    </row>
    <row r="139" spans="1:3" x14ac:dyDescent="0.35">
      <c r="A139" s="10">
        <v>41426</v>
      </c>
      <c r="B139" s="11">
        <v>23128.1</v>
      </c>
      <c r="C139" s="12">
        <v>507143</v>
      </c>
    </row>
    <row r="140" spans="1:3" x14ac:dyDescent="0.35">
      <c r="A140" s="10">
        <v>41518</v>
      </c>
      <c r="B140" s="11">
        <v>23220.2</v>
      </c>
      <c r="C140" s="12">
        <v>511272</v>
      </c>
    </row>
    <row r="141" spans="1:3" x14ac:dyDescent="0.35">
      <c r="A141" s="10">
        <v>41609</v>
      </c>
      <c r="B141" s="11">
        <v>23297.8</v>
      </c>
      <c r="C141" s="12">
        <v>515340</v>
      </c>
    </row>
    <row r="142" spans="1:3" x14ac:dyDescent="0.35">
      <c r="A142" s="10">
        <v>41699</v>
      </c>
      <c r="B142" s="11">
        <v>23406.2</v>
      </c>
      <c r="C142" s="12">
        <v>519376</v>
      </c>
    </row>
    <row r="143" spans="1:3" x14ac:dyDescent="0.35">
      <c r="A143" s="10">
        <v>41791</v>
      </c>
      <c r="B143" s="11">
        <v>23475.7</v>
      </c>
      <c r="C143" s="12">
        <v>521980</v>
      </c>
    </row>
    <row r="144" spans="1:3" x14ac:dyDescent="0.35">
      <c r="A144" s="10">
        <v>41883</v>
      </c>
      <c r="B144" s="11">
        <v>23562.9</v>
      </c>
      <c r="C144" s="12">
        <v>524083</v>
      </c>
    </row>
    <row r="145" spans="1:3" x14ac:dyDescent="0.35">
      <c r="A145" s="10">
        <v>41974</v>
      </c>
      <c r="B145" s="11">
        <v>23640.3</v>
      </c>
      <c r="C145" s="12">
        <v>526076</v>
      </c>
    </row>
    <row r="146" spans="1:3" x14ac:dyDescent="0.35">
      <c r="A146" s="10">
        <v>42064</v>
      </c>
      <c r="B146" s="11">
        <v>23745.599999999999</v>
      </c>
      <c r="C146" s="12">
        <v>531253</v>
      </c>
    </row>
    <row r="147" spans="1:3" x14ac:dyDescent="0.35">
      <c r="A147" s="10">
        <v>42156</v>
      </c>
      <c r="B147" s="11">
        <v>23816</v>
      </c>
      <c r="C147" s="12">
        <v>531848</v>
      </c>
    </row>
    <row r="148" spans="1:3" x14ac:dyDescent="0.35">
      <c r="A148" s="10">
        <v>42248</v>
      </c>
      <c r="B148" s="11">
        <v>23904.3</v>
      </c>
      <c r="C148" s="12">
        <v>536998</v>
      </c>
    </row>
    <row r="149" spans="1:3" x14ac:dyDescent="0.35">
      <c r="A149" s="10">
        <v>42339</v>
      </c>
      <c r="B149" s="11">
        <v>23984.6</v>
      </c>
      <c r="C149" s="12">
        <v>540362</v>
      </c>
    </row>
    <row r="150" spans="1:3" x14ac:dyDescent="0.35">
      <c r="A150" s="10">
        <v>42430</v>
      </c>
      <c r="B150" s="11">
        <v>24103.4</v>
      </c>
      <c r="C150" s="12">
        <v>545359</v>
      </c>
    </row>
    <row r="151" spans="1:3" x14ac:dyDescent="0.35">
      <c r="A151" s="10">
        <v>42522</v>
      </c>
      <c r="B151" s="11">
        <v>24190.9</v>
      </c>
      <c r="C151" s="12">
        <v>548854</v>
      </c>
    </row>
    <row r="152" spans="1:3" x14ac:dyDescent="0.35">
      <c r="A152" s="10">
        <v>42614</v>
      </c>
      <c r="B152" s="11">
        <v>24297.5</v>
      </c>
      <c r="C152" s="12">
        <v>548785</v>
      </c>
    </row>
    <row r="153" spans="1:3" x14ac:dyDescent="0.35">
      <c r="A153" s="10">
        <v>42705</v>
      </c>
      <c r="B153" s="11">
        <v>24385.1</v>
      </c>
      <c r="C153" s="12">
        <v>555132</v>
      </c>
    </row>
    <row r="154" spans="1:3" x14ac:dyDescent="0.35">
      <c r="A154" s="10">
        <v>42795</v>
      </c>
      <c r="B154" s="11">
        <v>24511.4</v>
      </c>
      <c r="C154" s="12">
        <v>556885</v>
      </c>
    </row>
    <row r="155" spans="1:3" x14ac:dyDescent="0.35">
      <c r="A155" s="10">
        <v>42887</v>
      </c>
      <c r="B155" s="11">
        <v>24592.6</v>
      </c>
      <c r="C155" s="12">
        <v>560274</v>
      </c>
    </row>
    <row r="156" spans="1:3" x14ac:dyDescent="0.35">
      <c r="A156" s="10">
        <v>42979</v>
      </c>
      <c r="B156" s="11">
        <v>24690.1</v>
      </c>
      <c r="C156" s="12">
        <v>565440</v>
      </c>
    </row>
    <row r="157" spans="1:3" x14ac:dyDescent="0.35">
      <c r="A157" s="10">
        <v>43070</v>
      </c>
      <c r="B157" s="11">
        <v>24759</v>
      </c>
      <c r="C157" s="12">
        <v>567844</v>
      </c>
    </row>
    <row r="158" spans="1:3" x14ac:dyDescent="0.35">
      <c r="A158" s="10">
        <v>43160</v>
      </c>
      <c r="B158" s="11">
        <v>24881.8</v>
      </c>
      <c r="C158" s="12">
        <v>573744</v>
      </c>
    </row>
    <row r="159" spans="1:3" x14ac:dyDescent="0.35">
      <c r="A159" s="10">
        <v>43252</v>
      </c>
      <c r="B159" s="11">
        <v>24963.3</v>
      </c>
      <c r="C159" s="12">
        <v>577981</v>
      </c>
    </row>
    <row r="160" spans="1:3" x14ac:dyDescent="0.35">
      <c r="A160" s="10">
        <v>43344</v>
      </c>
      <c r="B160" s="11">
        <v>25067.4</v>
      </c>
      <c r="C160" s="12">
        <v>580073</v>
      </c>
    </row>
    <row r="161" spans="1:3" x14ac:dyDescent="0.35">
      <c r="A161" s="10">
        <v>43435</v>
      </c>
      <c r="B161" s="11">
        <v>25146.1</v>
      </c>
      <c r="C161" s="12">
        <v>581464</v>
      </c>
    </row>
    <row r="162" spans="1:3" x14ac:dyDescent="0.35">
      <c r="A162" s="10">
        <v>43525</v>
      </c>
      <c r="B162" s="11">
        <v>25264.9</v>
      </c>
      <c r="C162" s="12">
        <v>585696</v>
      </c>
    </row>
    <row r="163" spans="1:3" x14ac:dyDescent="0.35">
      <c r="A163" s="10">
        <v>43617</v>
      </c>
      <c r="B163" s="11">
        <v>25334.799999999999</v>
      </c>
      <c r="C163" s="12">
        <v>587396</v>
      </c>
    </row>
    <row r="164" spans="1:3" x14ac:dyDescent="0.35">
      <c r="A164" s="10">
        <v>43709</v>
      </c>
      <c r="B164" s="11">
        <v>25438.1</v>
      </c>
      <c r="C164" s="12">
        <v>590688</v>
      </c>
    </row>
    <row r="165" spans="1:3" x14ac:dyDescent="0.35">
      <c r="A165" s="10">
        <v>43800</v>
      </c>
      <c r="B165" s="11">
        <v>25520.5</v>
      </c>
      <c r="C165" s="12">
        <v>594261</v>
      </c>
    </row>
    <row r="166" spans="1:3" x14ac:dyDescent="0.35">
      <c r="A166" s="10">
        <v>43891</v>
      </c>
      <c r="B166" s="11">
        <v>25627.9</v>
      </c>
      <c r="C166" s="12">
        <v>593477</v>
      </c>
    </row>
    <row r="167" spans="1:3" x14ac:dyDescent="0.35">
      <c r="A167" s="10">
        <v>43983</v>
      </c>
      <c r="B167" s="11">
        <v>25649.200000000001</v>
      </c>
      <c r="C167" s="12">
        <v>553411</v>
      </c>
    </row>
    <row r="168" spans="1:3" x14ac:dyDescent="0.35">
      <c r="A168" s="10">
        <v>44075</v>
      </c>
      <c r="B168" s="11">
        <v>25633.3</v>
      </c>
      <c r="C168" s="12">
        <v>572752</v>
      </c>
    </row>
    <row r="169" spans="1:3" x14ac:dyDescent="0.35">
      <c r="A169" s="10">
        <v>44166</v>
      </c>
      <c r="B169" s="11">
        <v>25630.7</v>
      </c>
      <c r="C169" s="12">
        <v>592337</v>
      </c>
    </row>
    <row r="170" spans="1:3" x14ac:dyDescent="0.35">
      <c r="A170" s="10">
        <v>44256</v>
      </c>
      <c r="B170" s="11">
        <v>25653</v>
      </c>
      <c r="C170" s="12">
        <v>605616</v>
      </c>
    </row>
    <row r="171" spans="1:3" x14ac:dyDescent="0.35">
      <c r="A171" s="10">
        <v>44348</v>
      </c>
      <c r="B171" s="11">
        <v>25685.4</v>
      </c>
      <c r="C171" s="12">
        <v>610361</v>
      </c>
    </row>
    <row r="172" spans="1:3" x14ac:dyDescent="0.35">
      <c r="A172" s="10">
        <v>44440</v>
      </c>
      <c r="B172" s="11">
        <v>25704.799999999999</v>
      </c>
      <c r="C172" s="12">
        <v>600014</v>
      </c>
    </row>
    <row r="173" spans="1:3" x14ac:dyDescent="0.35">
      <c r="A173" s="10">
        <v>44531</v>
      </c>
      <c r="B173" s="11">
        <v>25773.8</v>
      </c>
      <c r="C173" s="12">
        <v>621250</v>
      </c>
    </row>
    <row r="174" spans="1:3" x14ac:dyDescent="0.35">
      <c r="A174" s="10">
        <v>44621</v>
      </c>
      <c r="B174" s="11">
        <v>25913</v>
      </c>
      <c r="C174" s="12">
        <v>627351</v>
      </c>
    </row>
    <row r="175" spans="1:3" x14ac:dyDescent="0.35">
      <c r="A175" s="10">
        <v>44713</v>
      </c>
      <c r="B175" s="11">
        <v>26018.7</v>
      </c>
      <c r="C175" s="12">
        <v>633464</v>
      </c>
    </row>
    <row r="176" spans="1:3" x14ac:dyDescent="0.35">
      <c r="A176" s="10">
        <v>44805</v>
      </c>
      <c r="B176" s="11">
        <v>26169.3</v>
      </c>
      <c r="C176" s="12">
        <v>636381</v>
      </c>
    </row>
    <row r="177" spans="1:3" x14ac:dyDescent="0.35">
      <c r="A177" s="10">
        <v>44896</v>
      </c>
      <c r="B177" s="11">
        <v>26320.3</v>
      </c>
      <c r="C177" s="12">
        <v>640751</v>
      </c>
    </row>
    <row r="178" spans="1:3" x14ac:dyDescent="0.35">
      <c r="A178" s="10">
        <v>44986</v>
      </c>
      <c r="B178" s="11">
        <v>26514.3</v>
      </c>
      <c r="C178" s="12">
        <v>644021</v>
      </c>
    </row>
    <row r="179" spans="1:3" x14ac:dyDescent="0.35">
      <c r="A179" s="10">
        <v>45078</v>
      </c>
      <c r="B179" s="11">
        <v>26659.9</v>
      </c>
      <c r="C179" s="12">
        <v>646360</v>
      </c>
    </row>
    <row r="180" spans="1:3" x14ac:dyDescent="0.35">
      <c r="A180" s="10">
        <v>45170</v>
      </c>
      <c r="B180" s="11">
        <v>26832.5</v>
      </c>
      <c r="C180" s="12">
        <v>649595</v>
      </c>
    </row>
    <row r="181" spans="1:3" x14ac:dyDescent="0.35">
      <c r="A181" s="10">
        <v>45261</v>
      </c>
      <c r="B181" s="11">
        <v>26954.1</v>
      </c>
      <c r="C181" s="12">
        <v>650405</v>
      </c>
    </row>
    <row r="182" spans="1:3" x14ac:dyDescent="0.35">
      <c r="A182" s="10">
        <v>45352</v>
      </c>
      <c r="B182" s="11">
        <v>27113.7</v>
      </c>
      <c r="C182" s="12">
        <v>651445</v>
      </c>
    </row>
    <row r="183" spans="1:3" x14ac:dyDescent="0.35">
      <c r="A183" s="10">
        <v>45444</v>
      </c>
      <c r="B183" s="11">
        <v>27196.799999999999</v>
      </c>
      <c r="C183" s="12">
        <v>652349</v>
      </c>
    </row>
    <row r="184" spans="1:3" x14ac:dyDescent="0.35">
      <c r="A184" s="10">
        <v>45536</v>
      </c>
      <c r="B184" s="11">
        <v>27308.9</v>
      </c>
      <c r="C184" s="12">
        <v>654538</v>
      </c>
    </row>
    <row r="185" spans="1:3" x14ac:dyDescent="0.35">
      <c r="A185" s="10">
        <v>45627</v>
      </c>
      <c r="B185" s="11">
        <v>27400</v>
      </c>
      <c r="C185" s="12">
        <v>658547</v>
      </c>
    </row>
    <row r="186" spans="1:3" x14ac:dyDescent="0.35">
      <c r="C186" s="2"/>
    </row>
    <row r="187" spans="1:3" x14ac:dyDescent="0.35">
      <c r="C187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6611E-10DD-4487-BEE9-587A3B7BD474}">
  <dimension ref="A2:E187"/>
  <sheetViews>
    <sheetView tabSelected="1" topLeftCell="A139" workbookViewId="0">
      <selection activeCell="E3" sqref="E3:E177"/>
    </sheetView>
  </sheetViews>
  <sheetFormatPr defaultRowHeight="14.5" x14ac:dyDescent="0.35"/>
  <cols>
    <col min="1" max="1" width="16" customWidth="1"/>
    <col min="2" max="2" width="13.81640625" bestFit="1" customWidth="1"/>
    <col min="3" max="4" width="14.81640625" bestFit="1" customWidth="1"/>
  </cols>
  <sheetData>
    <row r="2" spans="1:5" x14ac:dyDescent="0.35">
      <c r="A2" t="s">
        <v>20</v>
      </c>
      <c r="B2" t="s">
        <v>23</v>
      </c>
      <c r="C2" t="s">
        <v>21</v>
      </c>
      <c r="D2" t="s">
        <v>22</v>
      </c>
      <c r="E2" t="str">
        <f>"{ quarter: """ &amp; A2 &amp; """, " &amp;
 "annualized_gdp_million: " &amp; TEXT(B2,"0") &amp; ", " &amp;
 "population_persons: " &amp; TEXT(C2,"0") &amp; ", " &amp;
 "annualized_gdp_pc: " &amp; TEXT(D2,"0") &amp; " },"</f>
        <v>{ quarter: "Quarter date", annualized_gdp_million: GDP millions, population_persons: Population, annualized_gdp_pc: Per capita },</v>
      </c>
    </row>
    <row r="3" spans="1:5" x14ac:dyDescent="0.35">
      <c r="A3" s="13" t="str">
        <f>TEXT(Data!A11,"yyyy") &amp; "-Q" &amp; CHOOSE(MONTH(Data!A11),1,1,1,2,2,2,3,3,3,4,4,4)</f>
        <v>1981-Q2</v>
      </c>
      <c r="B3" s="15">
        <f>Data!C11*4</f>
        <v>742324</v>
      </c>
      <c r="C3" s="14">
        <f>Data!B11*1000</f>
        <v>14923300</v>
      </c>
      <c r="D3" s="16">
        <f>(B3*1000000)/C3</f>
        <v>49742.617249535957</v>
      </c>
      <c r="E3" t="str">
        <f t="shared" ref="E3:E66" si="0">"{ quarter: """ &amp; A3 &amp; """, " &amp;
 "annualized_gdp_million: " &amp; TEXT(B3,"0") &amp; ", " &amp;
 "population_persons: " &amp; TEXT(C3,"0") &amp; ", " &amp;
 "annualized_gdp_pc: " &amp; TEXT(D3,"0") &amp; " },"</f>
        <v>{ quarter: "1981-Q2", annualized_gdp_million: 742324, population_persons: 14923300, annualized_gdp_pc: 49743 },</v>
      </c>
    </row>
    <row r="4" spans="1:5" x14ac:dyDescent="0.35">
      <c r="A4" s="13" t="str">
        <f>TEXT(Data!A12,"yyyy") &amp; "-Q" &amp; CHOOSE(MONTH(Data!A12),1,1,1,2,2,2,3,3,3,4,4,4)</f>
        <v>1981-Q3</v>
      </c>
      <c r="B4" s="15">
        <f>Data!C12*4</f>
        <v>757300</v>
      </c>
      <c r="C4" s="14">
        <f>Data!B12*1000</f>
        <v>14988700</v>
      </c>
      <c r="D4" s="16">
        <f t="shared" ref="D4:D67" si="1">(B4*1000000)/C4</f>
        <v>50524.728628900441</v>
      </c>
      <c r="E4" t="str">
        <f t="shared" si="0"/>
        <v>{ quarter: "1981-Q3", annualized_gdp_million: 757300, population_persons: 14988700, annualized_gdp_pc: 50525 },</v>
      </c>
    </row>
    <row r="5" spans="1:5" x14ac:dyDescent="0.35">
      <c r="A5" s="13" t="str">
        <f>TEXT(Data!A13,"yyyy") &amp; "-Q" &amp; CHOOSE(MONTH(Data!A13),1,1,1,2,2,2,3,3,3,4,4,4)</f>
        <v>1981-Q4</v>
      </c>
      <c r="B5" s="15">
        <f>Data!C13*4</f>
        <v>754184</v>
      </c>
      <c r="C5" s="14">
        <f>Data!B13*1000</f>
        <v>15054100</v>
      </c>
      <c r="D5" s="16">
        <f t="shared" si="1"/>
        <v>50098.245660650588</v>
      </c>
      <c r="E5" t="str">
        <f t="shared" si="0"/>
        <v>{ quarter: "1981-Q4", annualized_gdp_million: 754184, population_persons: 15054100, annualized_gdp_pc: 50098 },</v>
      </c>
    </row>
    <row r="6" spans="1:5" x14ac:dyDescent="0.35">
      <c r="A6" s="13" t="str">
        <f>TEXT(Data!A14,"yyyy") &amp; "-Q" &amp; CHOOSE(MONTH(Data!A14),1,1,1,2,2,2,3,3,3,4,4,4)</f>
        <v>1982-Q1</v>
      </c>
      <c r="B6" s="15">
        <f>Data!C14*4</f>
        <v>748164</v>
      </c>
      <c r="C6" s="14">
        <f>Data!B14*1000</f>
        <v>15121700</v>
      </c>
      <c r="D6" s="16">
        <f t="shared" si="1"/>
        <v>49476.183233366617</v>
      </c>
      <c r="E6" t="str">
        <f t="shared" si="0"/>
        <v>{ quarter: "1982-Q1", annualized_gdp_million: 748164, population_persons: 15121700, annualized_gdp_pc: 49476 },</v>
      </c>
    </row>
    <row r="7" spans="1:5" x14ac:dyDescent="0.35">
      <c r="A7" s="13" t="str">
        <f>TEXT(Data!A15,"yyyy") &amp; "-Q" &amp; CHOOSE(MONTH(Data!A15),1,1,1,2,2,2,3,3,3,4,4,4)</f>
        <v>1982-Q2</v>
      </c>
      <c r="B7" s="15">
        <f>Data!C15*4</f>
        <v>754804</v>
      </c>
      <c r="C7" s="14">
        <f>Data!B15*1000</f>
        <v>15184200</v>
      </c>
      <c r="D7" s="16">
        <f t="shared" si="1"/>
        <v>49709.829954821456</v>
      </c>
      <c r="E7" t="str">
        <f t="shared" si="0"/>
        <v>{ quarter: "1982-Q2", annualized_gdp_million: 754804, population_persons: 15184200, annualized_gdp_pc: 49710 },</v>
      </c>
    </row>
    <row r="8" spans="1:5" x14ac:dyDescent="0.35">
      <c r="A8" s="13" t="str">
        <f>TEXT(Data!A16,"yyyy") &amp; "-Q" &amp; CHOOSE(MONTH(Data!A16),1,1,1,2,2,2,3,3,3,4,4,4)</f>
        <v>1982-Q3</v>
      </c>
      <c r="B8" s="15">
        <f>Data!C16*4</f>
        <v>749824</v>
      </c>
      <c r="C8" s="14">
        <f>Data!B16*1000</f>
        <v>15239300</v>
      </c>
      <c r="D8" s="16">
        <f t="shared" si="1"/>
        <v>49203.309863313931</v>
      </c>
      <c r="E8" t="str">
        <f t="shared" si="0"/>
        <v>{ quarter: "1982-Q3", annualized_gdp_million: 749824, population_persons: 15239300, annualized_gdp_pc: 49203 },</v>
      </c>
    </row>
    <row r="9" spans="1:5" x14ac:dyDescent="0.35">
      <c r="A9" s="13" t="str">
        <f>TEXT(Data!A17,"yyyy") &amp; "-Q" &amp; CHOOSE(MONTH(Data!A17),1,1,1,2,2,2,3,3,3,4,4,4)</f>
        <v>1982-Q4</v>
      </c>
      <c r="B9" s="15">
        <f>Data!C17*4</f>
        <v>737760</v>
      </c>
      <c r="C9" s="14">
        <f>Data!B17*1000</f>
        <v>15288900</v>
      </c>
      <c r="D9" s="16">
        <f t="shared" si="1"/>
        <v>48254.616094028999</v>
      </c>
      <c r="E9" t="str">
        <f t="shared" si="0"/>
        <v>{ quarter: "1982-Q4", annualized_gdp_million: 737760, population_persons: 15288900, annualized_gdp_pc: 48255 },</v>
      </c>
    </row>
    <row r="10" spans="1:5" x14ac:dyDescent="0.35">
      <c r="A10" s="13" t="str">
        <f>TEXT(Data!A18,"yyyy") &amp; "-Q" &amp; CHOOSE(MONTH(Data!A18),1,1,1,2,2,2,3,3,3,4,4,4)</f>
        <v>1983-Q1</v>
      </c>
      <c r="B10" s="15">
        <f>Data!C18*4</f>
        <v>730656</v>
      </c>
      <c r="C10" s="14">
        <f>Data!B18*1000</f>
        <v>15346200</v>
      </c>
      <c r="D10" s="16">
        <f t="shared" si="1"/>
        <v>47611.525980372993</v>
      </c>
      <c r="E10" t="str">
        <f t="shared" si="0"/>
        <v>{ quarter: "1983-Q1", annualized_gdp_million: 730656, population_persons: 15346200, annualized_gdp_pc: 47612 },</v>
      </c>
    </row>
    <row r="11" spans="1:5" x14ac:dyDescent="0.35">
      <c r="A11" s="13" t="str">
        <f>TEXT(Data!A19,"yyyy") &amp; "-Q" &amp; CHOOSE(MONTH(Data!A19),1,1,1,2,2,2,3,3,3,4,4,4)</f>
        <v>1983-Q2</v>
      </c>
      <c r="B11" s="15">
        <f>Data!C19*4</f>
        <v>729160</v>
      </c>
      <c r="C11" s="14">
        <f>Data!B19*1000</f>
        <v>15393500</v>
      </c>
      <c r="D11" s="16">
        <f t="shared" si="1"/>
        <v>47368.04495403904</v>
      </c>
      <c r="E11" t="str">
        <f t="shared" si="0"/>
        <v>{ quarter: "1983-Q2", annualized_gdp_million: 729160, population_persons: 15393500, annualized_gdp_pc: 47368 },</v>
      </c>
    </row>
    <row r="12" spans="1:5" x14ac:dyDescent="0.35">
      <c r="A12" s="13" t="str">
        <f>TEXT(Data!A20,"yyyy") &amp; "-Q" &amp; CHOOSE(MONTH(Data!A20),1,1,1,2,2,2,3,3,3,4,4,4)</f>
        <v>1983-Q3</v>
      </c>
      <c r="B12" s="15">
        <f>Data!C20*4</f>
        <v>749600</v>
      </c>
      <c r="C12" s="14">
        <f>Data!B20*1000</f>
        <v>15439000</v>
      </c>
      <c r="D12" s="16">
        <f t="shared" si="1"/>
        <v>48552.367381307078</v>
      </c>
      <c r="E12" t="str">
        <f t="shared" si="0"/>
        <v>{ quarter: "1983-Q3", annualized_gdp_million: 749600, population_persons: 15439000, annualized_gdp_pc: 48552 },</v>
      </c>
    </row>
    <row r="13" spans="1:5" x14ac:dyDescent="0.35">
      <c r="A13" s="13" t="str">
        <f>TEXT(Data!A21,"yyyy") &amp; "-Q" &amp; CHOOSE(MONTH(Data!A21),1,1,1,2,2,2,3,3,3,4,4,4)</f>
        <v>1983-Q4</v>
      </c>
      <c r="B13" s="15">
        <f>Data!C21*4</f>
        <v>762260</v>
      </c>
      <c r="C13" s="14">
        <f>Data!B21*1000</f>
        <v>15483500</v>
      </c>
      <c r="D13" s="16">
        <f t="shared" si="1"/>
        <v>49230.471146704556</v>
      </c>
      <c r="E13" t="str">
        <f t="shared" si="0"/>
        <v>{ quarter: "1983-Q4", annualized_gdp_million: 762260, population_persons: 15483500, annualized_gdp_pc: 49230 },</v>
      </c>
    </row>
    <row r="14" spans="1:5" x14ac:dyDescent="0.35">
      <c r="A14" s="13" t="str">
        <f>TEXT(Data!A22,"yyyy") &amp; "-Q" &amp; CHOOSE(MONTH(Data!A22),1,1,1,2,2,2,3,3,3,4,4,4)</f>
        <v>1984-Q1</v>
      </c>
      <c r="B14" s="15">
        <f>Data!C22*4</f>
        <v>780908</v>
      </c>
      <c r="C14" s="14">
        <f>Data!B22*1000</f>
        <v>15531500</v>
      </c>
      <c r="D14" s="16">
        <f t="shared" si="1"/>
        <v>50278.981424846279</v>
      </c>
      <c r="E14" t="str">
        <f t="shared" si="0"/>
        <v>{ quarter: "1984-Q1", annualized_gdp_million: 780908, population_persons: 15531500, annualized_gdp_pc: 50279 },</v>
      </c>
    </row>
    <row r="15" spans="1:5" x14ac:dyDescent="0.35">
      <c r="A15" s="13" t="str">
        <f>TEXT(Data!A23,"yyyy") &amp; "-Q" &amp; CHOOSE(MONTH(Data!A23),1,1,1,2,2,2,3,3,3,4,4,4)</f>
        <v>1984-Q2</v>
      </c>
      <c r="B15" s="15">
        <f>Data!C23*4</f>
        <v>790032</v>
      </c>
      <c r="C15" s="14">
        <f>Data!B23*1000</f>
        <v>15579400</v>
      </c>
      <c r="D15" s="16">
        <f t="shared" si="1"/>
        <v>50710.040181265002</v>
      </c>
      <c r="E15" t="str">
        <f t="shared" si="0"/>
        <v>{ quarter: "1984-Q2", annualized_gdp_million: 790032, population_persons: 15579400, annualized_gdp_pc: 50710 },</v>
      </c>
    </row>
    <row r="16" spans="1:5" x14ac:dyDescent="0.35">
      <c r="A16" s="13" t="str">
        <f>TEXT(Data!A24,"yyyy") &amp; "-Q" &amp; CHOOSE(MONTH(Data!A24),1,1,1,2,2,2,3,3,3,4,4,4)</f>
        <v>1984-Q3</v>
      </c>
      <c r="B16" s="15">
        <f>Data!C24*4</f>
        <v>797304</v>
      </c>
      <c r="C16" s="14">
        <f>Data!B24*1000</f>
        <v>15628500</v>
      </c>
      <c r="D16" s="16">
        <f t="shared" si="1"/>
        <v>51016.028409636245</v>
      </c>
      <c r="E16" t="str">
        <f t="shared" si="0"/>
        <v>{ quarter: "1984-Q3", annualized_gdp_million: 797304, population_persons: 15628500, annualized_gdp_pc: 51016 },</v>
      </c>
    </row>
    <row r="17" spans="1:5" x14ac:dyDescent="0.35">
      <c r="A17" s="13" t="str">
        <f>TEXT(Data!A25,"yyyy") &amp; "-Q" &amp; CHOOSE(MONTH(Data!A25),1,1,1,2,2,2,3,3,3,4,4,4)</f>
        <v>1984-Q4</v>
      </c>
      <c r="B17" s="15">
        <f>Data!C25*4</f>
        <v>802116</v>
      </c>
      <c r="C17" s="14">
        <f>Data!B25*1000</f>
        <v>15677300</v>
      </c>
      <c r="D17" s="16">
        <f t="shared" si="1"/>
        <v>51164.167299216067</v>
      </c>
      <c r="E17" t="str">
        <f t="shared" si="0"/>
        <v>{ quarter: "1984-Q4", annualized_gdp_million: 802116, population_persons: 15677300, annualized_gdp_pc: 51164 },</v>
      </c>
    </row>
    <row r="18" spans="1:5" x14ac:dyDescent="0.35">
      <c r="A18" s="13" t="str">
        <f>TEXT(Data!A26,"yyyy") &amp; "-Q" &amp; CHOOSE(MONTH(Data!A26),1,1,1,2,2,2,3,3,3,4,4,4)</f>
        <v>1985-Q1</v>
      </c>
      <c r="B18" s="15">
        <f>Data!C26*4</f>
        <v>813952</v>
      </c>
      <c r="C18" s="14">
        <f>Data!B26*1000</f>
        <v>15736700</v>
      </c>
      <c r="D18" s="16">
        <f t="shared" si="1"/>
        <v>51723.169406546484</v>
      </c>
      <c r="E18" t="str">
        <f t="shared" si="0"/>
        <v>{ quarter: "1985-Q1", annualized_gdp_million: 813952, population_persons: 15736700, annualized_gdp_pc: 51723 },</v>
      </c>
    </row>
    <row r="19" spans="1:5" x14ac:dyDescent="0.35">
      <c r="A19" s="13" t="str">
        <f>TEXT(Data!A27,"yyyy") &amp; "-Q" &amp; CHOOSE(MONTH(Data!A27),1,1,1,2,2,2,3,3,3,4,4,4)</f>
        <v>1985-Q2</v>
      </c>
      <c r="B19" s="15">
        <f>Data!C27*4</f>
        <v>832148</v>
      </c>
      <c r="C19" s="14">
        <f>Data!B27*1000</f>
        <v>15788300</v>
      </c>
      <c r="D19" s="16">
        <f t="shared" si="1"/>
        <v>52706.624525756415</v>
      </c>
      <c r="E19" t="str">
        <f t="shared" si="0"/>
        <v>{ quarter: "1985-Q2", annualized_gdp_million: 832148, population_persons: 15788300, annualized_gdp_pc: 52707 },</v>
      </c>
    </row>
    <row r="20" spans="1:5" x14ac:dyDescent="0.35">
      <c r="A20" s="13" t="str">
        <f>TEXT(Data!A28,"yyyy") &amp; "-Q" &amp; CHOOSE(MONTH(Data!A28),1,1,1,2,2,2,3,3,3,4,4,4)</f>
        <v>1985-Q3</v>
      </c>
      <c r="B20" s="15">
        <f>Data!C28*4</f>
        <v>842816</v>
      </c>
      <c r="C20" s="14">
        <f>Data!B28*1000</f>
        <v>15839700</v>
      </c>
      <c r="D20" s="16">
        <f t="shared" si="1"/>
        <v>53209.088555970127</v>
      </c>
      <c r="E20" t="str">
        <f t="shared" si="0"/>
        <v>{ quarter: "1985-Q3", annualized_gdp_million: 842816, population_persons: 15839700, annualized_gdp_pc: 53209 },</v>
      </c>
    </row>
    <row r="21" spans="1:5" x14ac:dyDescent="0.35">
      <c r="A21" s="13" t="str">
        <f>TEXT(Data!A29,"yyyy") &amp; "-Q" &amp; CHOOSE(MONTH(Data!A29),1,1,1,2,2,2,3,3,3,4,4,4)</f>
        <v>1985-Q4</v>
      </c>
      <c r="B21" s="15">
        <f>Data!C29*4</f>
        <v>840460</v>
      </c>
      <c r="C21" s="14">
        <f>Data!B29*1000</f>
        <v>15900600</v>
      </c>
      <c r="D21" s="16">
        <f t="shared" si="1"/>
        <v>52857.124888368991</v>
      </c>
      <c r="E21" t="str">
        <f t="shared" si="0"/>
        <v>{ quarter: "1985-Q4", annualized_gdp_million: 840460, population_persons: 15900600, annualized_gdp_pc: 52857 },</v>
      </c>
    </row>
    <row r="22" spans="1:5" x14ac:dyDescent="0.35">
      <c r="A22" s="13" t="str">
        <f>TEXT(Data!A30,"yyyy") &amp; "-Q" &amp; CHOOSE(MONTH(Data!A30),1,1,1,2,2,2,3,3,3,4,4,4)</f>
        <v>1986-Q1</v>
      </c>
      <c r="B22" s="15">
        <f>Data!C30*4</f>
        <v>846252</v>
      </c>
      <c r="C22" s="14">
        <f>Data!B30*1000</f>
        <v>15961500</v>
      </c>
      <c r="D22" s="16">
        <f t="shared" si="1"/>
        <v>53018.325345362275</v>
      </c>
      <c r="E22" t="str">
        <f t="shared" si="0"/>
        <v>{ quarter: "1986-Q1", annualized_gdp_million: 846252, population_persons: 15961500, annualized_gdp_pc: 53018 },</v>
      </c>
    </row>
    <row r="23" spans="1:5" x14ac:dyDescent="0.35">
      <c r="A23" s="13" t="str">
        <f>TEXT(Data!A31,"yyyy") &amp; "-Q" &amp; CHOOSE(MONTH(Data!A31),1,1,1,2,2,2,3,3,3,4,4,4)</f>
        <v>1986-Q2</v>
      </c>
      <c r="B23" s="15">
        <f>Data!C31*4</f>
        <v>844720</v>
      </c>
      <c r="C23" s="14">
        <f>Data!B31*1000</f>
        <v>16018400</v>
      </c>
      <c r="D23" s="16">
        <f t="shared" si="1"/>
        <v>52734.355491185139</v>
      </c>
      <c r="E23" t="str">
        <f t="shared" si="0"/>
        <v>{ quarter: "1986-Q2", annualized_gdp_million: 844720, population_persons: 16018400, annualized_gdp_pc: 52734 },</v>
      </c>
    </row>
    <row r="24" spans="1:5" x14ac:dyDescent="0.35">
      <c r="A24" s="13" t="str">
        <f>TEXT(Data!A32,"yyyy") &amp; "-Q" &amp; CHOOSE(MONTH(Data!A32),1,1,1,2,2,2,3,3,3,4,4,4)</f>
        <v>1986-Q3</v>
      </c>
      <c r="B24" s="15">
        <f>Data!C32*4</f>
        <v>846944</v>
      </c>
      <c r="C24" s="14">
        <f>Data!B32*1000</f>
        <v>16075000</v>
      </c>
      <c r="D24" s="16">
        <f t="shared" si="1"/>
        <v>52687.029548989114</v>
      </c>
      <c r="E24" t="str">
        <f t="shared" si="0"/>
        <v>{ quarter: "1986-Q3", annualized_gdp_million: 846944, population_persons: 16075000, annualized_gdp_pc: 52687 },</v>
      </c>
    </row>
    <row r="25" spans="1:5" x14ac:dyDescent="0.35">
      <c r="A25" s="13" t="str">
        <f>TEXT(Data!A33,"yyyy") &amp; "-Q" &amp; CHOOSE(MONTH(Data!A33),1,1,1,2,2,2,3,3,3,4,4,4)</f>
        <v>1986-Q4</v>
      </c>
      <c r="B25" s="15">
        <f>Data!C33*4</f>
        <v>860912</v>
      </c>
      <c r="C25" s="14">
        <f>Data!B33*1000</f>
        <v>16138800</v>
      </c>
      <c r="D25" s="16">
        <f t="shared" si="1"/>
        <v>53344.238729025703</v>
      </c>
      <c r="E25" t="str">
        <f t="shared" si="0"/>
        <v>{ quarter: "1986-Q4", annualized_gdp_million: 860912, population_persons: 16138800, annualized_gdp_pc: 53344 },</v>
      </c>
    </row>
    <row r="26" spans="1:5" x14ac:dyDescent="0.35">
      <c r="A26" s="13" t="str">
        <f>TEXT(Data!A34,"yyyy") &amp; "-Q" &amp; CHOOSE(MONTH(Data!A34),1,1,1,2,2,2,3,3,3,4,4,4)</f>
        <v>1987-Q1</v>
      </c>
      <c r="B26" s="15">
        <f>Data!C34*4</f>
        <v>869448</v>
      </c>
      <c r="C26" s="14">
        <f>Data!B34*1000</f>
        <v>16204000</v>
      </c>
      <c r="D26" s="16">
        <f t="shared" si="1"/>
        <v>53656.381140459147</v>
      </c>
      <c r="E26" t="str">
        <f t="shared" si="0"/>
        <v>{ quarter: "1987-Q1", annualized_gdp_million: 869448, population_persons: 16204000, annualized_gdp_pc: 53656 },</v>
      </c>
    </row>
    <row r="27" spans="1:5" x14ac:dyDescent="0.35">
      <c r="A27" s="13" t="str">
        <f>TEXT(Data!A35,"yyyy") &amp; "-Q" &amp; CHOOSE(MONTH(Data!A35),1,1,1,2,2,2,3,3,3,4,4,4)</f>
        <v>1987-Q2</v>
      </c>
      <c r="B27" s="15">
        <f>Data!C35*4</f>
        <v>883312</v>
      </c>
      <c r="C27" s="14">
        <f>Data!B35*1000</f>
        <v>16263900</v>
      </c>
      <c r="D27" s="16">
        <f t="shared" si="1"/>
        <v>54311.20456962967</v>
      </c>
      <c r="E27" t="str">
        <f t="shared" si="0"/>
        <v>{ quarter: "1987-Q2", annualized_gdp_million: 883312, population_persons: 16263900, annualized_gdp_pc: 54311 },</v>
      </c>
    </row>
    <row r="28" spans="1:5" x14ac:dyDescent="0.35">
      <c r="A28" s="13" t="str">
        <f>TEXT(Data!A36,"yyyy") &amp; "-Q" &amp; CHOOSE(MONTH(Data!A36),1,1,1,2,2,2,3,3,3,4,4,4)</f>
        <v>1987-Q3</v>
      </c>
      <c r="B28" s="15">
        <f>Data!C36*4</f>
        <v>899224</v>
      </c>
      <c r="C28" s="14">
        <f>Data!B36*1000</f>
        <v>16328900</v>
      </c>
      <c r="D28" s="16">
        <f t="shared" si="1"/>
        <v>55069.478041999158</v>
      </c>
      <c r="E28" t="str">
        <f t="shared" si="0"/>
        <v>{ quarter: "1987-Q3", annualized_gdp_million: 899224, population_persons: 16328900, annualized_gdp_pc: 55069 },</v>
      </c>
    </row>
    <row r="29" spans="1:5" x14ac:dyDescent="0.35">
      <c r="A29" s="13" t="str">
        <f>TEXT(Data!A37,"yyyy") &amp; "-Q" &amp; CHOOSE(MONTH(Data!A37),1,1,1,2,2,2,3,3,3,4,4,4)</f>
        <v>1987-Q4</v>
      </c>
      <c r="B29" s="15">
        <f>Data!C37*4</f>
        <v>917416</v>
      </c>
      <c r="C29" s="14">
        <f>Data!B37*1000</f>
        <v>16394599.999999998</v>
      </c>
      <c r="D29" s="16">
        <f t="shared" si="1"/>
        <v>55958.425335171341</v>
      </c>
      <c r="E29" t="str">
        <f t="shared" si="0"/>
        <v>{ quarter: "1987-Q4", annualized_gdp_million: 917416, population_persons: 16394600, annualized_gdp_pc: 55958 },</v>
      </c>
    </row>
    <row r="30" spans="1:5" x14ac:dyDescent="0.35">
      <c r="A30" s="13" t="str">
        <f>TEXT(Data!A38,"yyyy") &amp; "-Q" &amp; CHOOSE(MONTH(Data!A38),1,1,1,2,2,2,3,3,3,4,4,4)</f>
        <v>1988-Q1</v>
      </c>
      <c r="B30" s="15">
        <f>Data!C38*4</f>
        <v>921160</v>
      </c>
      <c r="C30" s="14">
        <f>Data!B38*1000</f>
        <v>16471800</v>
      </c>
      <c r="D30" s="16">
        <f t="shared" si="1"/>
        <v>55923.457059944878</v>
      </c>
      <c r="E30" t="str">
        <f t="shared" si="0"/>
        <v>{ quarter: "1988-Q1", annualized_gdp_million: 921160, population_persons: 16471800, annualized_gdp_pc: 55923 },</v>
      </c>
    </row>
    <row r="31" spans="1:5" x14ac:dyDescent="0.35">
      <c r="A31" s="13" t="str">
        <f>TEXT(Data!A39,"yyyy") &amp; "-Q" &amp; CHOOSE(MONTH(Data!A39),1,1,1,2,2,2,3,3,3,4,4,4)</f>
        <v>1988-Q2</v>
      </c>
      <c r="B31" s="15">
        <f>Data!C39*4</f>
        <v>922072</v>
      </c>
      <c r="C31" s="14">
        <f>Data!B39*1000</f>
        <v>16532200</v>
      </c>
      <c r="D31" s="16">
        <f t="shared" si="1"/>
        <v>55774.307109761554</v>
      </c>
      <c r="E31" t="str">
        <f t="shared" si="0"/>
        <v>{ quarter: "1988-Q2", annualized_gdp_million: 922072, population_persons: 16532200, annualized_gdp_pc: 55774 },</v>
      </c>
    </row>
    <row r="32" spans="1:5" x14ac:dyDescent="0.35">
      <c r="A32" s="13" t="str">
        <f>TEXT(Data!A40,"yyyy") &amp; "-Q" &amp; CHOOSE(MONTH(Data!A40),1,1,1,2,2,2,3,3,3,4,4,4)</f>
        <v>1988-Q3</v>
      </c>
      <c r="B32" s="15">
        <f>Data!C40*4</f>
        <v>929448</v>
      </c>
      <c r="C32" s="14">
        <f>Data!B40*1000</f>
        <v>16612599.999999998</v>
      </c>
      <c r="D32" s="16">
        <f t="shared" si="1"/>
        <v>55948.376533474599</v>
      </c>
      <c r="E32" t="str">
        <f t="shared" si="0"/>
        <v>{ quarter: "1988-Q3", annualized_gdp_million: 929448, population_persons: 16612600, annualized_gdp_pc: 55948 },</v>
      </c>
    </row>
    <row r="33" spans="1:5" x14ac:dyDescent="0.35">
      <c r="A33" s="13" t="str">
        <f>TEXT(Data!A41,"yyyy") &amp; "-Q" &amp; CHOOSE(MONTH(Data!A41),1,1,1,2,2,2,3,3,3,4,4,4)</f>
        <v>1988-Q4</v>
      </c>
      <c r="B33" s="15">
        <f>Data!C41*4</f>
        <v>944592</v>
      </c>
      <c r="C33" s="14">
        <f>Data!B41*1000</f>
        <v>16687099.999999998</v>
      </c>
      <c r="D33" s="16">
        <f t="shared" si="1"/>
        <v>56606.12089578178</v>
      </c>
      <c r="E33" t="str">
        <f t="shared" si="0"/>
        <v>{ quarter: "1988-Q4", annualized_gdp_million: 944592, population_persons: 16687100, annualized_gdp_pc: 56606 },</v>
      </c>
    </row>
    <row r="34" spans="1:5" x14ac:dyDescent="0.35">
      <c r="A34" s="13" t="str">
        <f>TEXT(Data!A42,"yyyy") &amp; "-Q" &amp; CHOOSE(MONTH(Data!A42),1,1,1,2,2,2,3,3,3,4,4,4)</f>
        <v>1989-Q1</v>
      </c>
      <c r="B34" s="15">
        <f>Data!C42*4</f>
        <v>953412</v>
      </c>
      <c r="C34" s="14">
        <f>Data!B42*1000</f>
        <v>16764000</v>
      </c>
      <c r="D34" s="16">
        <f t="shared" si="1"/>
        <v>56872.584108804578</v>
      </c>
      <c r="E34" t="str">
        <f t="shared" si="0"/>
        <v>{ quarter: "1989-Q1", annualized_gdp_million: 953412, population_persons: 16764000, annualized_gdp_pc: 56873 },</v>
      </c>
    </row>
    <row r="35" spans="1:5" x14ac:dyDescent="0.35">
      <c r="A35" s="13" t="str">
        <f>TEXT(Data!A43,"yyyy") &amp; "-Q" &amp; CHOOSE(MONTH(Data!A43),1,1,1,2,2,2,3,3,3,4,4,4)</f>
        <v>1989-Q2</v>
      </c>
      <c r="B35" s="15">
        <f>Data!C43*4</f>
        <v>974176</v>
      </c>
      <c r="C35" s="14">
        <f>Data!B43*1000</f>
        <v>16814400</v>
      </c>
      <c r="D35" s="16">
        <f t="shared" si="1"/>
        <v>57937.006375487676</v>
      </c>
      <c r="E35" t="str">
        <f t="shared" si="0"/>
        <v>{ quarter: "1989-Q2", annualized_gdp_million: 974176, population_persons: 16814400, annualized_gdp_pc: 57937 },</v>
      </c>
    </row>
    <row r="36" spans="1:5" x14ac:dyDescent="0.35">
      <c r="A36" s="13" t="str">
        <f>TEXT(Data!A44,"yyyy") &amp; "-Q" &amp; CHOOSE(MONTH(Data!A44),1,1,1,2,2,2,3,3,3,4,4,4)</f>
        <v>1989-Q3</v>
      </c>
      <c r="B36" s="15">
        <f>Data!C44*4</f>
        <v>982312</v>
      </c>
      <c r="C36" s="14">
        <f>Data!B44*1000</f>
        <v>16872000</v>
      </c>
      <c r="D36" s="16">
        <f t="shared" si="1"/>
        <v>58221.431958274065</v>
      </c>
      <c r="E36" t="str">
        <f t="shared" si="0"/>
        <v>{ quarter: "1989-Q3", annualized_gdp_million: 982312, population_persons: 16872000, annualized_gdp_pc: 58221 },</v>
      </c>
    </row>
    <row r="37" spans="1:5" x14ac:dyDescent="0.35">
      <c r="A37" s="13" t="str">
        <f>TEXT(Data!A45,"yyyy") &amp; "-Q" &amp; CHOOSE(MONTH(Data!A45),1,1,1,2,2,2,3,3,3,4,4,4)</f>
        <v>1989-Q4</v>
      </c>
      <c r="B37" s="15">
        <f>Data!C45*4</f>
        <v>979600</v>
      </c>
      <c r="C37" s="14">
        <f>Data!B45*1000</f>
        <v>16936700</v>
      </c>
      <c r="D37" s="16">
        <f t="shared" si="1"/>
        <v>57838.894235594889</v>
      </c>
      <c r="E37" t="str">
        <f t="shared" si="0"/>
        <v>{ quarter: "1989-Q4", annualized_gdp_million: 979600, population_persons: 16936700, annualized_gdp_pc: 57839 },</v>
      </c>
    </row>
    <row r="38" spans="1:5" x14ac:dyDescent="0.35">
      <c r="A38" s="13" t="str">
        <f>TEXT(Data!A46,"yyyy") &amp; "-Q" &amp; CHOOSE(MONTH(Data!A46),1,1,1,2,2,2,3,3,3,4,4,4)</f>
        <v>1990-Q1</v>
      </c>
      <c r="B38" s="15">
        <f>Data!C46*4</f>
        <v>987172</v>
      </c>
      <c r="C38" s="14">
        <f>Data!B46*1000</f>
        <v>17005600</v>
      </c>
      <c r="D38" s="16">
        <f t="shared" si="1"/>
        <v>58049.818883191416</v>
      </c>
      <c r="E38" t="str">
        <f t="shared" si="0"/>
        <v>{ quarter: "1990-Q1", annualized_gdp_million: 987172, population_persons: 17005600, annualized_gdp_pc: 58050 },</v>
      </c>
    </row>
    <row r="39" spans="1:5" x14ac:dyDescent="0.35">
      <c r="A39" s="13" t="str">
        <f>TEXT(Data!A47,"yyyy") &amp; "-Q" &amp; CHOOSE(MONTH(Data!A47),1,1,1,2,2,2,3,3,3,4,4,4)</f>
        <v>1990-Q2</v>
      </c>
      <c r="B39" s="15">
        <f>Data!C47*4</f>
        <v>988548</v>
      </c>
      <c r="C39" s="14">
        <f>Data!B47*1000</f>
        <v>17065100</v>
      </c>
      <c r="D39" s="16">
        <f t="shared" si="1"/>
        <v>57928.05198914744</v>
      </c>
      <c r="E39" t="str">
        <f t="shared" si="0"/>
        <v>{ quarter: "1990-Q2", annualized_gdp_million: 988548, population_persons: 17065100, annualized_gdp_pc: 57928 },</v>
      </c>
    </row>
    <row r="40" spans="1:5" x14ac:dyDescent="0.35">
      <c r="A40" s="13" t="str">
        <f>TEXT(Data!A48,"yyyy") &amp; "-Q" &amp; CHOOSE(MONTH(Data!A48),1,1,1,2,2,2,3,3,3,4,4,4)</f>
        <v>1990-Q3</v>
      </c>
      <c r="B40" s="15">
        <f>Data!C48*4</f>
        <v>983232</v>
      </c>
      <c r="C40" s="14">
        <f>Data!B48*1000</f>
        <v>17121100</v>
      </c>
      <c r="D40" s="16">
        <f t="shared" si="1"/>
        <v>57428.085812243371</v>
      </c>
      <c r="E40" t="str">
        <f t="shared" si="0"/>
        <v>{ quarter: "1990-Q3", annualized_gdp_million: 983232, population_persons: 17121100, annualized_gdp_pc: 57428 },</v>
      </c>
    </row>
    <row r="41" spans="1:5" x14ac:dyDescent="0.35">
      <c r="A41" s="13" t="str">
        <f>TEXT(Data!A49,"yyyy") &amp; "-Q" &amp; CHOOSE(MONTH(Data!A49),1,1,1,2,2,2,3,3,3,4,4,4)</f>
        <v>1990-Q4</v>
      </c>
      <c r="B41" s="15">
        <f>Data!C49*4</f>
        <v>988652</v>
      </c>
      <c r="C41" s="14">
        <f>Data!B49*1000</f>
        <v>17169800</v>
      </c>
      <c r="D41" s="16">
        <f t="shared" si="1"/>
        <v>57580.868734638723</v>
      </c>
      <c r="E41" t="str">
        <f t="shared" si="0"/>
        <v>{ quarter: "1990-Q4", annualized_gdp_million: 988652, population_persons: 17169800, annualized_gdp_pc: 57581 },</v>
      </c>
    </row>
    <row r="42" spans="1:5" x14ac:dyDescent="0.35">
      <c r="A42" s="13" t="str">
        <f>TEXT(Data!A50,"yyyy") &amp; "-Q" &amp; CHOOSE(MONTH(Data!A50),1,1,1,2,2,2,3,3,3,4,4,4)</f>
        <v>1991-Q1</v>
      </c>
      <c r="B42" s="15">
        <f>Data!C50*4</f>
        <v>976228</v>
      </c>
      <c r="C42" s="14">
        <f>Data!B50*1000</f>
        <v>17237400</v>
      </c>
      <c r="D42" s="16">
        <f t="shared" si="1"/>
        <v>56634.295195331084</v>
      </c>
      <c r="E42" t="str">
        <f t="shared" si="0"/>
        <v>{ quarter: "1991-Q1", annualized_gdp_million: 976228, population_persons: 17237400, annualized_gdp_pc: 56634 },</v>
      </c>
    </row>
    <row r="43" spans="1:5" x14ac:dyDescent="0.35">
      <c r="A43" s="13" t="str">
        <f>TEXT(Data!A51,"yyyy") &amp; "-Q" &amp; CHOOSE(MONTH(Data!A51),1,1,1,2,2,2,3,3,3,4,4,4)</f>
        <v>1991-Q2</v>
      </c>
      <c r="B43" s="15">
        <f>Data!C51*4</f>
        <v>974468</v>
      </c>
      <c r="C43" s="14">
        <f>Data!B51*1000</f>
        <v>17284000</v>
      </c>
      <c r="D43" s="16">
        <f t="shared" si="1"/>
        <v>56379.773200648</v>
      </c>
      <c r="E43" t="str">
        <f t="shared" si="0"/>
        <v>{ quarter: "1991-Q2", annualized_gdp_million: 974468, population_persons: 17284000, annualized_gdp_pc: 56380 },</v>
      </c>
    </row>
    <row r="44" spans="1:5" x14ac:dyDescent="0.35">
      <c r="A44" s="13" t="str">
        <f>TEXT(Data!A52,"yyyy") &amp; "-Q" &amp; CHOOSE(MONTH(Data!A52),1,1,1,2,2,2,3,3,3,4,4,4)</f>
        <v>1991-Q3</v>
      </c>
      <c r="B44" s="15">
        <f>Data!C52*4</f>
        <v>978740</v>
      </c>
      <c r="C44" s="14">
        <f>Data!B52*1000</f>
        <v>17338900</v>
      </c>
      <c r="D44" s="16">
        <f t="shared" si="1"/>
        <v>56447.640853802724</v>
      </c>
      <c r="E44" t="str">
        <f t="shared" si="0"/>
        <v>{ quarter: "1991-Q3", annualized_gdp_million: 978740, population_persons: 17338900, annualized_gdp_pc: 56448 },</v>
      </c>
    </row>
    <row r="45" spans="1:5" x14ac:dyDescent="0.35">
      <c r="A45" s="13" t="str">
        <f>TEXT(Data!A53,"yyyy") &amp; "-Q" &amp; CHOOSE(MONTH(Data!A53),1,1,1,2,2,2,3,3,3,4,4,4)</f>
        <v>1991-Q4</v>
      </c>
      <c r="B45" s="15">
        <f>Data!C53*4</f>
        <v>979404</v>
      </c>
      <c r="C45" s="14">
        <f>Data!B53*1000</f>
        <v>17379000</v>
      </c>
      <c r="D45" s="16">
        <f t="shared" si="1"/>
        <v>56355.601588123594</v>
      </c>
      <c r="E45" t="str">
        <f t="shared" si="0"/>
        <v>{ quarter: "1991-Q4", annualized_gdp_million: 979404, population_persons: 17379000, annualized_gdp_pc: 56356 },</v>
      </c>
    </row>
    <row r="46" spans="1:5" x14ac:dyDescent="0.35">
      <c r="A46" s="13" t="str">
        <f>TEXT(Data!A54,"yyyy") &amp; "-Q" &amp; CHOOSE(MONTH(Data!A54),1,1,1,2,2,2,3,3,3,4,4,4)</f>
        <v>1992-Q1</v>
      </c>
      <c r="B46" s="15">
        <f>Data!C54*4</f>
        <v>987028</v>
      </c>
      <c r="C46" s="14">
        <f>Data!B54*1000</f>
        <v>17441300</v>
      </c>
      <c r="D46" s="16">
        <f>(B46*1000000)/C46</f>
        <v>56591.423804418249</v>
      </c>
      <c r="E46" t="str">
        <f t="shared" si="0"/>
        <v>{ quarter: "1992-Q1", annualized_gdp_million: 987028, population_persons: 17441300, annualized_gdp_pc: 56591 },</v>
      </c>
    </row>
    <row r="47" spans="1:5" x14ac:dyDescent="0.35">
      <c r="A47" s="13" t="str">
        <f>TEXT(Data!A55,"yyyy") &amp; "-Q" &amp; CHOOSE(MONTH(Data!A55),1,1,1,2,2,2,3,3,3,4,4,4)</f>
        <v>1992-Q2</v>
      </c>
      <c r="B47" s="15">
        <f>Data!C55*4</f>
        <v>994204</v>
      </c>
      <c r="C47" s="14">
        <f>Data!B55*1000</f>
        <v>17478600</v>
      </c>
      <c r="D47" s="16">
        <f t="shared" si="1"/>
        <v>56881.214742599521</v>
      </c>
      <c r="E47" t="str">
        <f t="shared" si="0"/>
        <v>{ quarter: "1992-Q2", annualized_gdp_million: 994204, population_persons: 17478600, annualized_gdp_pc: 56881 },</v>
      </c>
    </row>
    <row r="48" spans="1:5" x14ac:dyDescent="0.35">
      <c r="A48" s="13" t="str">
        <f>TEXT(Data!A56,"yyyy") &amp; "-Q" &amp; CHOOSE(MONTH(Data!A56),1,1,1,2,2,2,3,3,3,4,4,4)</f>
        <v>1992-Q3</v>
      </c>
      <c r="B48" s="15">
        <f>Data!C56*4</f>
        <v>1004004</v>
      </c>
      <c r="C48" s="14">
        <f>Data!B56*1000</f>
        <v>17523300</v>
      </c>
      <c r="D48" s="16">
        <f t="shared" si="1"/>
        <v>57295.372446970607</v>
      </c>
      <c r="E48" t="str">
        <f t="shared" si="0"/>
        <v>{ quarter: "1992-Q3", annualized_gdp_million: 1004004, population_persons: 17523300, annualized_gdp_pc: 57295 },</v>
      </c>
    </row>
    <row r="49" spans="1:5" x14ac:dyDescent="0.35">
      <c r="A49" s="13" t="str">
        <f>TEXT(Data!A57,"yyyy") &amp; "-Q" &amp; CHOOSE(MONTH(Data!A57),1,1,1,2,2,2,3,3,3,4,4,4)</f>
        <v>1992-Q4</v>
      </c>
      <c r="B49" s="15">
        <f>Data!C57*4</f>
        <v>1024892</v>
      </c>
      <c r="C49" s="14">
        <f>Data!B57*1000</f>
        <v>17557100</v>
      </c>
      <c r="D49" s="16">
        <f t="shared" si="1"/>
        <v>58374.788547083517</v>
      </c>
      <c r="E49" t="str">
        <f t="shared" si="0"/>
        <v>{ quarter: "1992-Q4", annualized_gdp_million: 1024892, population_persons: 17557100, annualized_gdp_pc: 58375 },</v>
      </c>
    </row>
    <row r="50" spans="1:5" x14ac:dyDescent="0.35">
      <c r="A50" s="13" t="str">
        <f>TEXT(Data!A58,"yyyy") &amp; "-Q" &amp; CHOOSE(MONTH(Data!A58),1,1,1,2,2,2,3,3,3,4,4,4)</f>
        <v>1993-Q1</v>
      </c>
      <c r="B50" s="15">
        <f>Data!C58*4</f>
        <v>1031976</v>
      </c>
      <c r="C50" s="14">
        <f>Data!B58*1000</f>
        <v>17609600</v>
      </c>
      <c r="D50" s="16">
        <f t="shared" si="1"/>
        <v>58603.034708340907</v>
      </c>
      <c r="E50" t="str">
        <f t="shared" si="0"/>
        <v>{ quarter: "1993-Q1", annualized_gdp_million: 1031976, population_persons: 17609600, annualized_gdp_pc: 58603 },</v>
      </c>
    </row>
    <row r="51" spans="1:5" x14ac:dyDescent="0.35">
      <c r="A51" s="13" t="str">
        <f>TEXT(Data!A59,"yyyy") &amp; "-Q" &amp; CHOOSE(MONTH(Data!A59),1,1,1,2,2,2,3,3,3,4,4,4)</f>
        <v>1993-Q2</v>
      </c>
      <c r="B51" s="15">
        <f>Data!C59*4</f>
        <v>1037924</v>
      </c>
      <c r="C51" s="14">
        <f>Data!B59*1000</f>
        <v>17634800</v>
      </c>
      <c r="D51" s="16">
        <f t="shared" si="1"/>
        <v>58856.579036904302</v>
      </c>
      <c r="E51" t="str">
        <f t="shared" si="0"/>
        <v>{ quarter: "1993-Q2", annualized_gdp_million: 1037924, population_persons: 17634800, annualized_gdp_pc: 58857 },</v>
      </c>
    </row>
    <row r="52" spans="1:5" x14ac:dyDescent="0.35">
      <c r="A52" s="13" t="str">
        <f>TEXT(Data!A60,"yyyy") &amp; "-Q" &amp; CHOOSE(MONTH(Data!A60),1,1,1,2,2,2,3,3,3,4,4,4)</f>
        <v>1993-Q3</v>
      </c>
      <c r="B52" s="15">
        <f>Data!C60*4</f>
        <v>1039256</v>
      </c>
      <c r="C52" s="14">
        <f>Data!B60*1000</f>
        <v>17683700</v>
      </c>
      <c r="D52" s="16">
        <f t="shared" si="1"/>
        <v>58769.148990313115</v>
      </c>
      <c r="E52" t="str">
        <f t="shared" si="0"/>
        <v>{ quarter: "1993-Q3", annualized_gdp_million: 1039256, population_persons: 17683700, annualized_gdp_pc: 58769 },</v>
      </c>
    </row>
    <row r="53" spans="1:5" x14ac:dyDescent="0.35">
      <c r="A53" s="13" t="str">
        <f>TEXT(Data!A61,"yyyy") &amp; "-Q" &amp; CHOOSE(MONTH(Data!A61),1,1,1,2,2,2,3,3,3,4,4,4)</f>
        <v>1993-Q4</v>
      </c>
      <c r="B53" s="15">
        <f>Data!C61*4</f>
        <v>1058220</v>
      </c>
      <c r="C53" s="14">
        <f>Data!B61*1000</f>
        <v>17719100</v>
      </c>
      <c r="D53" s="16">
        <f t="shared" si="1"/>
        <v>59721.994909447996</v>
      </c>
      <c r="E53" t="str">
        <f t="shared" si="0"/>
        <v>{ quarter: "1993-Q4", annualized_gdp_million: 1058220, population_persons: 17719100, annualized_gdp_pc: 59722 },</v>
      </c>
    </row>
    <row r="54" spans="1:5" x14ac:dyDescent="0.35">
      <c r="A54" s="13" t="str">
        <f>TEXT(Data!A62,"yyyy") &amp; "-Q" &amp; CHOOSE(MONTH(Data!A62),1,1,1,2,2,2,3,3,3,4,4,4)</f>
        <v>1994-Q1</v>
      </c>
      <c r="B54" s="15">
        <f>Data!C62*4</f>
        <v>1075820</v>
      </c>
      <c r="C54" s="14">
        <f>Data!B62*1000</f>
        <v>17772100</v>
      </c>
      <c r="D54" s="16">
        <f t="shared" si="1"/>
        <v>60534.208112715998</v>
      </c>
      <c r="E54" t="str">
        <f t="shared" si="0"/>
        <v>{ quarter: "1994-Q1", annualized_gdp_million: 1075820, population_persons: 17772100, annualized_gdp_pc: 60534 },</v>
      </c>
    </row>
    <row r="55" spans="1:5" x14ac:dyDescent="0.35">
      <c r="A55" s="13" t="str">
        <f>TEXT(Data!A63,"yyyy") &amp; "-Q" &amp; CHOOSE(MONTH(Data!A63),1,1,1,2,2,2,3,3,3,4,4,4)</f>
        <v>1994-Q2</v>
      </c>
      <c r="B55" s="15">
        <f>Data!C63*4</f>
        <v>1088652</v>
      </c>
      <c r="C55" s="14">
        <f>Data!B63*1000</f>
        <v>17805500</v>
      </c>
      <c r="D55" s="16">
        <f t="shared" si="1"/>
        <v>61141.332734267504</v>
      </c>
      <c r="E55" t="str">
        <f t="shared" si="0"/>
        <v>{ quarter: "1994-Q2", annualized_gdp_million: 1088652, population_persons: 17805500, annualized_gdp_pc: 61141 },</v>
      </c>
    </row>
    <row r="56" spans="1:5" x14ac:dyDescent="0.35">
      <c r="A56" s="13" t="str">
        <f>TEXT(Data!A64,"yyyy") &amp; "-Q" &amp; CHOOSE(MONTH(Data!A64),1,1,1,2,2,2,3,3,3,4,4,4)</f>
        <v>1994-Q3</v>
      </c>
      <c r="B56" s="15">
        <f>Data!C64*4</f>
        <v>1096908</v>
      </c>
      <c r="C56" s="14">
        <f>Data!B64*1000</f>
        <v>17859300</v>
      </c>
      <c r="D56" s="16">
        <f t="shared" si="1"/>
        <v>61419.428533033213</v>
      </c>
      <c r="E56" t="str">
        <f t="shared" si="0"/>
        <v>{ quarter: "1994-Q3", annualized_gdp_million: 1096908, population_persons: 17859300, annualized_gdp_pc: 61419 },</v>
      </c>
    </row>
    <row r="57" spans="1:5" x14ac:dyDescent="0.35">
      <c r="A57" s="13" t="str">
        <f>TEXT(Data!A65,"yyyy") &amp; "-Q" &amp; CHOOSE(MONTH(Data!A65),1,1,1,2,2,2,3,3,3,4,4,4)</f>
        <v>1994-Q4</v>
      </c>
      <c r="B57" s="15">
        <f>Data!C65*4</f>
        <v>1109132</v>
      </c>
      <c r="C57" s="14">
        <f>Data!B65*1000</f>
        <v>17893400</v>
      </c>
      <c r="D57" s="16">
        <f t="shared" si="1"/>
        <v>61985.536566555267</v>
      </c>
      <c r="E57" t="str">
        <f t="shared" si="0"/>
        <v>{ quarter: "1994-Q4", annualized_gdp_million: 1109132, population_persons: 17893400, annualized_gdp_pc: 61986 },</v>
      </c>
    </row>
    <row r="58" spans="1:5" x14ac:dyDescent="0.35">
      <c r="A58" s="13" t="str">
        <f>TEXT(Data!A66,"yyyy") &amp; "-Q" &amp; CHOOSE(MONTH(Data!A66),1,1,1,2,2,2,3,3,3,4,4,4)</f>
        <v>1995-Q1</v>
      </c>
      <c r="B58" s="15">
        <f>Data!C66*4</f>
        <v>1108180</v>
      </c>
      <c r="C58" s="14">
        <f>Data!B66*1000</f>
        <v>17951600</v>
      </c>
      <c r="D58" s="16">
        <f t="shared" si="1"/>
        <v>61731.544820517389</v>
      </c>
      <c r="E58" t="str">
        <f t="shared" si="0"/>
        <v>{ quarter: "1995-Q1", annualized_gdp_million: 1108180, population_persons: 17951600, annualized_gdp_pc: 61732 },</v>
      </c>
    </row>
    <row r="59" spans="1:5" x14ac:dyDescent="0.35">
      <c r="A59" s="13" t="str">
        <f>TEXT(Data!A67,"yyyy") &amp; "-Q" &amp; CHOOSE(MONTH(Data!A67),1,1,1,2,2,2,3,3,3,4,4,4)</f>
        <v>1995-Q2</v>
      </c>
      <c r="B59" s="15">
        <f>Data!C67*4</f>
        <v>1113340</v>
      </c>
      <c r="C59" s="14">
        <f>Data!B67*1000</f>
        <v>18004900</v>
      </c>
      <c r="D59" s="16">
        <f t="shared" si="1"/>
        <v>61835.389255147209</v>
      </c>
      <c r="E59" t="str">
        <f t="shared" si="0"/>
        <v>{ quarter: "1995-Q2", annualized_gdp_million: 1113340, population_persons: 18004900, annualized_gdp_pc: 61835 },</v>
      </c>
    </row>
    <row r="60" spans="1:5" x14ac:dyDescent="0.35">
      <c r="A60" s="13" t="str">
        <f>TEXT(Data!A68,"yyyy") &amp; "-Q" &amp; CHOOSE(MONTH(Data!A68),1,1,1,2,2,2,3,3,3,4,4,4)</f>
        <v>1995-Q3</v>
      </c>
      <c r="B60" s="15">
        <f>Data!C68*4</f>
        <v>1139088</v>
      </c>
      <c r="C60" s="14">
        <f>Data!B68*1000</f>
        <v>18062200</v>
      </c>
      <c r="D60" s="16">
        <f t="shared" si="1"/>
        <v>63064.742943827441</v>
      </c>
      <c r="E60" t="str">
        <f t="shared" si="0"/>
        <v>{ quarter: "1995-Q3", annualized_gdp_million: 1139088, population_persons: 18062200, annualized_gdp_pc: 63065 },</v>
      </c>
    </row>
    <row r="61" spans="1:5" x14ac:dyDescent="0.35">
      <c r="A61" s="13" t="str">
        <f>TEXT(Data!A69,"yyyy") &amp; "-Q" &amp; CHOOSE(MONTH(Data!A69),1,1,1,2,2,2,3,3,3,4,4,4)</f>
        <v>1995-Q4</v>
      </c>
      <c r="B61" s="15">
        <f>Data!C69*4</f>
        <v>1138888</v>
      </c>
      <c r="C61" s="14">
        <f>Data!B69*1000</f>
        <v>18119600</v>
      </c>
      <c r="D61" s="16">
        <f t="shared" si="1"/>
        <v>62853.926135234775</v>
      </c>
      <c r="E61" t="str">
        <f t="shared" si="0"/>
        <v>{ quarter: "1995-Q4", annualized_gdp_million: 1138888, population_persons: 18119600, annualized_gdp_pc: 62854 },</v>
      </c>
    </row>
    <row r="62" spans="1:5" x14ac:dyDescent="0.35">
      <c r="A62" s="13" t="str">
        <f>TEXT(Data!A70,"yyyy") &amp; "-Q" &amp; CHOOSE(MONTH(Data!A70),1,1,1,2,2,2,3,3,3,4,4,4)</f>
        <v>1996-Q1</v>
      </c>
      <c r="B62" s="15">
        <f>Data!C70*4</f>
        <v>1156648</v>
      </c>
      <c r="C62" s="14">
        <f>Data!B70*1000</f>
        <v>18176000</v>
      </c>
      <c r="D62" s="16">
        <f t="shared" si="1"/>
        <v>63636.00352112676</v>
      </c>
      <c r="E62" t="str">
        <f t="shared" si="0"/>
        <v>{ quarter: "1996-Q1", annualized_gdp_million: 1156648, population_persons: 18176000, annualized_gdp_pc: 63636 },</v>
      </c>
    </row>
    <row r="63" spans="1:5" x14ac:dyDescent="0.35">
      <c r="A63" s="13" t="str">
        <f>TEXT(Data!A71,"yyyy") &amp; "-Q" &amp; CHOOSE(MONTH(Data!A71),1,1,1,2,2,2,3,3,3,4,4,4)</f>
        <v>1996-Q2</v>
      </c>
      <c r="B63" s="15">
        <f>Data!C71*4</f>
        <v>1164012</v>
      </c>
      <c r="C63" s="14">
        <f>Data!B71*1000</f>
        <v>18224800</v>
      </c>
      <c r="D63" s="16">
        <f t="shared" si="1"/>
        <v>63869.672095167029</v>
      </c>
      <c r="E63" t="str">
        <f t="shared" si="0"/>
        <v>{ quarter: "1996-Q2", annualized_gdp_million: 1164012, population_persons: 18224800, annualized_gdp_pc: 63870 },</v>
      </c>
    </row>
    <row r="64" spans="1:5" x14ac:dyDescent="0.35">
      <c r="A64" s="13" t="str">
        <f>TEXT(Data!A72,"yyyy") &amp; "-Q" &amp; CHOOSE(MONTH(Data!A72),1,1,1,2,2,2,3,3,3,4,4,4)</f>
        <v>1996-Q3</v>
      </c>
      <c r="B64" s="15">
        <f>Data!C72*4</f>
        <v>1173212</v>
      </c>
      <c r="C64" s="14">
        <f>Data!B72*1000</f>
        <v>18281300</v>
      </c>
      <c r="D64" s="16">
        <f t="shared" si="1"/>
        <v>64175.523622499495</v>
      </c>
      <c r="E64" t="str">
        <f t="shared" si="0"/>
        <v>{ quarter: "1996-Q3", annualized_gdp_million: 1173212, population_persons: 18281300, annualized_gdp_pc: 64176 },</v>
      </c>
    </row>
    <row r="65" spans="1:5" x14ac:dyDescent="0.35">
      <c r="A65" s="13" t="str">
        <f>TEXT(Data!A73,"yyyy") &amp; "-Q" &amp; CHOOSE(MONTH(Data!A73),1,1,1,2,2,2,3,3,3,4,4,4)</f>
        <v>1996-Q4</v>
      </c>
      <c r="B65" s="15">
        <f>Data!C73*4</f>
        <v>1184368</v>
      </c>
      <c r="C65" s="14">
        <f>Data!B73*1000</f>
        <v>18330100</v>
      </c>
      <c r="D65" s="16">
        <f t="shared" si="1"/>
        <v>64613.286343227803</v>
      </c>
      <c r="E65" t="str">
        <f t="shared" si="0"/>
        <v>{ quarter: "1996-Q4", annualized_gdp_million: 1184368, population_persons: 18330100, annualized_gdp_pc: 64613 },</v>
      </c>
    </row>
    <row r="66" spans="1:5" x14ac:dyDescent="0.35">
      <c r="A66" s="13" t="str">
        <f>TEXT(Data!A74,"yyyy") &amp; "-Q" &amp; CHOOSE(MONTH(Data!A74),1,1,1,2,2,2,3,3,3,4,4,4)</f>
        <v>1997-Q1</v>
      </c>
      <c r="B66" s="15">
        <f>Data!C74*4</f>
        <v>1192624</v>
      </c>
      <c r="C66" s="14">
        <f>Data!B74*1000</f>
        <v>18388700</v>
      </c>
      <c r="D66" s="16">
        <f t="shared" si="1"/>
        <v>64856.351998781858</v>
      </c>
      <c r="E66" t="str">
        <f t="shared" si="0"/>
        <v>{ quarter: "1997-Q1", annualized_gdp_million: 1192624, population_persons: 18388700, annualized_gdp_pc: 64856 },</v>
      </c>
    </row>
    <row r="67" spans="1:5" x14ac:dyDescent="0.35">
      <c r="A67" s="13" t="str">
        <f>TEXT(Data!A75,"yyyy") &amp; "-Q" &amp; CHOOSE(MONTH(Data!A75),1,1,1,2,2,2,3,3,3,4,4,4)</f>
        <v>1997-Q2</v>
      </c>
      <c r="B67" s="15">
        <f>Data!C75*4</f>
        <v>1228388</v>
      </c>
      <c r="C67" s="14">
        <f>Data!B75*1000</f>
        <v>18423000</v>
      </c>
      <c r="D67" s="16">
        <f t="shared" si="1"/>
        <v>66676.871302176631</v>
      </c>
      <c r="E67" t="str">
        <f t="shared" ref="E67:E83" si="2">"{ quarter: """ &amp; A67 &amp; """, " &amp;
 "annualized_gdp_million: " &amp; TEXT(B67,"0") &amp; ", " &amp;
 "population_persons: " &amp; TEXT(C67,"0") &amp; ", " &amp;
 "annualized_gdp_pc: " &amp; TEXT(D67,"0") &amp; " },"</f>
        <v>{ quarter: "1997-Q2", annualized_gdp_million: 1228388, population_persons: 18423000, annualized_gdp_pc: 66677 },</v>
      </c>
    </row>
    <row r="68" spans="1:5" x14ac:dyDescent="0.35">
      <c r="A68" s="13" t="str">
        <f>TEXT(Data!A76,"yyyy") &amp; "-Q" &amp; CHOOSE(MONTH(Data!A76),1,1,1,2,2,2,3,3,3,4,4,4)</f>
        <v>1997-Q3</v>
      </c>
      <c r="B68" s="15">
        <f>Data!C76*4</f>
        <v>1230096</v>
      </c>
      <c r="C68" s="14">
        <f>Data!B76*1000</f>
        <v>18468700</v>
      </c>
      <c r="D68" s="16">
        <f t="shared" ref="D68:D77" si="3">(B68*1000000)/C68</f>
        <v>66604.363057497278</v>
      </c>
      <c r="E68" t="str">
        <f t="shared" si="2"/>
        <v>{ quarter: "1997-Q3", annualized_gdp_million: 1230096, population_persons: 18468700, annualized_gdp_pc: 66604 },</v>
      </c>
    </row>
    <row r="69" spans="1:5" x14ac:dyDescent="0.35">
      <c r="A69" s="13" t="str">
        <f>TEXT(Data!A77,"yyyy") &amp; "-Q" &amp; CHOOSE(MONTH(Data!A77),1,1,1,2,2,2,3,3,3,4,4,4)</f>
        <v>1997-Q4</v>
      </c>
      <c r="B69" s="15">
        <f>Data!C77*4</f>
        <v>1247620</v>
      </c>
      <c r="C69" s="14">
        <f>Data!B77*1000</f>
        <v>18510000</v>
      </c>
      <c r="D69" s="16">
        <f t="shared" si="3"/>
        <v>67402.485143165861</v>
      </c>
      <c r="E69" t="str">
        <f t="shared" si="2"/>
        <v>{ quarter: "1997-Q4", annualized_gdp_million: 1247620, population_persons: 18510000, annualized_gdp_pc: 67402 },</v>
      </c>
    </row>
    <row r="70" spans="1:5" x14ac:dyDescent="0.35">
      <c r="A70" s="13" t="str">
        <f>TEXT(Data!A78,"yyyy") &amp; "-Q" &amp; CHOOSE(MONTH(Data!A78),1,1,1,2,2,2,3,3,3,4,4,4)</f>
        <v>1998-Q1</v>
      </c>
      <c r="B70" s="15">
        <f>Data!C78*4</f>
        <v>1255420</v>
      </c>
      <c r="C70" s="14">
        <f>Data!B78*1000</f>
        <v>18572400</v>
      </c>
      <c r="D70" s="16">
        <f t="shared" si="3"/>
        <v>67596.002670629532</v>
      </c>
      <c r="E70" t="str">
        <f t="shared" si="2"/>
        <v>{ quarter: "1998-Q1", annualized_gdp_million: 1255420, population_persons: 18572400, annualized_gdp_pc: 67596 },</v>
      </c>
    </row>
    <row r="71" spans="1:5" x14ac:dyDescent="0.35">
      <c r="A71" s="13" t="str">
        <f>TEXT(Data!A79,"yyyy") &amp; "-Q" &amp; CHOOSE(MONTH(Data!A79),1,1,1,2,2,2,3,3,3,4,4,4)</f>
        <v>1998-Q2</v>
      </c>
      <c r="B71" s="15">
        <f>Data!C79*4</f>
        <v>1268292</v>
      </c>
      <c r="C71" s="14">
        <f>Data!B79*1000</f>
        <v>18607600</v>
      </c>
      <c r="D71" s="16">
        <f t="shared" si="3"/>
        <v>68159.891657172338</v>
      </c>
      <c r="E71" t="str">
        <f t="shared" si="2"/>
        <v>{ quarter: "1998-Q2", annualized_gdp_million: 1268292, population_persons: 18607600, annualized_gdp_pc: 68160 },</v>
      </c>
    </row>
    <row r="72" spans="1:5" x14ac:dyDescent="0.35">
      <c r="A72" s="13" t="str">
        <f>TEXT(Data!A80,"yyyy") &amp; "-Q" &amp; CHOOSE(MONTH(Data!A80),1,1,1,2,2,2,3,3,3,4,4,4)</f>
        <v>1998-Q3</v>
      </c>
      <c r="B72" s="15">
        <f>Data!C80*4</f>
        <v>1291884</v>
      </c>
      <c r="C72" s="14">
        <f>Data!B80*1000</f>
        <v>18658400</v>
      </c>
      <c r="D72" s="16">
        <f t="shared" si="3"/>
        <v>69238.734296617069</v>
      </c>
      <c r="E72" t="str">
        <f t="shared" si="2"/>
        <v>{ quarter: "1998-Q3", annualized_gdp_million: 1291884, population_persons: 18658400, annualized_gdp_pc: 69239 },</v>
      </c>
    </row>
    <row r="73" spans="1:5" x14ac:dyDescent="0.35">
      <c r="A73" s="13" t="str">
        <f>TEXT(Data!A81,"yyyy") &amp; "-Q" &amp; CHOOSE(MONTH(Data!A81),1,1,1,2,2,2,3,3,3,4,4,4)</f>
        <v>1998-Q4</v>
      </c>
      <c r="B73" s="15">
        <f>Data!C81*4</f>
        <v>1311960</v>
      </c>
      <c r="C73" s="14">
        <f>Data!B81*1000</f>
        <v>18705600</v>
      </c>
      <c r="D73" s="16">
        <f t="shared" si="3"/>
        <v>70137.28509109572</v>
      </c>
      <c r="E73" t="str">
        <f t="shared" si="2"/>
        <v>{ quarter: "1998-Q4", annualized_gdp_million: 1311960, population_persons: 18705600, annualized_gdp_pc: 70137 },</v>
      </c>
    </row>
    <row r="74" spans="1:5" x14ac:dyDescent="0.35">
      <c r="A74" s="13" t="str">
        <f>TEXT(Data!A82,"yyyy") &amp; "-Q" &amp; CHOOSE(MONTH(Data!A82),1,1,1,2,2,2,3,3,3,4,4,4)</f>
        <v>1999-Q1</v>
      </c>
      <c r="B74" s="15">
        <f>Data!C82*4</f>
        <v>1321804</v>
      </c>
      <c r="C74" s="14">
        <f>Data!B82*1000</f>
        <v>18770500</v>
      </c>
      <c r="D74" s="16">
        <f t="shared" si="3"/>
        <v>70419.221650994907</v>
      </c>
      <c r="E74" t="str">
        <f t="shared" si="2"/>
        <v>{ quarter: "1999-Q1", annualized_gdp_million: 1321804, population_persons: 18770500, annualized_gdp_pc: 70419 },</v>
      </c>
    </row>
    <row r="75" spans="1:5" x14ac:dyDescent="0.35">
      <c r="A75" s="13" t="str">
        <f>TEXT(Data!A83,"yyyy") &amp; "-Q" &amp; CHOOSE(MONTH(Data!A83),1,1,1,2,2,2,3,3,3,4,4,4)</f>
        <v>1999-Q2</v>
      </c>
      <c r="B75" s="15">
        <f>Data!C83*4</f>
        <v>1327236</v>
      </c>
      <c r="C75" s="14">
        <f>Data!B83*1000</f>
        <v>18812300</v>
      </c>
      <c r="D75" s="16">
        <f t="shared" si="3"/>
        <v>70551.500879743573</v>
      </c>
      <c r="E75" t="str">
        <f t="shared" si="2"/>
        <v>{ quarter: "1999-Q2", annualized_gdp_million: 1327236, population_persons: 18812300, annualized_gdp_pc: 70552 },</v>
      </c>
    </row>
    <row r="76" spans="1:5" x14ac:dyDescent="0.35">
      <c r="A76" s="13" t="str">
        <f>TEXT(Data!A84,"yyyy") &amp; "-Q" &amp; CHOOSE(MONTH(Data!A84),1,1,1,2,2,2,3,3,3,4,4,4)</f>
        <v>1999-Q3</v>
      </c>
      <c r="B76" s="15">
        <f>Data!C84*4</f>
        <v>1341504</v>
      </c>
      <c r="C76" s="14">
        <f>Data!B84*1000</f>
        <v>18867700</v>
      </c>
      <c r="D76" s="16">
        <f t="shared" si="3"/>
        <v>71100.558096641354</v>
      </c>
      <c r="E76" t="str">
        <f t="shared" si="2"/>
        <v>{ quarter: "1999-Q3", annualized_gdp_million: 1341504, population_persons: 18867700, annualized_gdp_pc: 71101 },</v>
      </c>
    </row>
    <row r="77" spans="1:5" x14ac:dyDescent="0.35">
      <c r="A77" s="13" t="str">
        <f>TEXT(Data!A85,"yyyy") &amp; "-Q" &amp; CHOOSE(MONTH(Data!A85),1,1,1,2,2,2,3,3,3,4,4,4)</f>
        <v>1999-Q4</v>
      </c>
      <c r="B77" s="15">
        <f>Data!C85*4</f>
        <v>1364520</v>
      </c>
      <c r="C77" s="14">
        <f>Data!B85*1000</f>
        <v>18919200</v>
      </c>
      <c r="D77" s="16">
        <f t="shared" si="3"/>
        <v>72123.557021438537</v>
      </c>
      <c r="E77" t="str">
        <f t="shared" si="2"/>
        <v>{ quarter: "1999-Q4", annualized_gdp_million: 1364520, population_persons: 18919200, annualized_gdp_pc: 72124 },</v>
      </c>
    </row>
    <row r="78" spans="1:5" x14ac:dyDescent="0.35">
      <c r="A78" s="13" t="str">
        <f>TEXT(Data!A86,"yyyy") &amp; "-Q" &amp; CHOOSE(MONTH(Data!A86),1,1,1,2,2,2,3,3,3,4,4,4)</f>
        <v>2000-Q1</v>
      </c>
      <c r="B78" s="15">
        <f>Data!C86*4</f>
        <v>1369716</v>
      </c>
      <c r="C78" s="14">
        <f>Data!B86*1000</f>
        <v>18986700</v>
      </c>
      <c r="D78" s="16">
        <f>(B78*1000000)/C78</f>
        <v>72140.81435952535</v>
      </c>
      <c r="E78" t="str">
        <f t="shared" si="2"/>
        <v>{ quarter: "2000-Q1", annualized_gdp_million: 1369716, population_persons: 18986700, annualized_gdp_pc: 72141 },</v>
      </c>
    </row>
    <row r="79" spans="1:5" x14ac:dyDescent="0.35">
      <c r="A79" s="13" t="str">
        <f>TEXT(Data!A87,"yyyy") &amp; "-Q" &amp; CHOOSE(MONTH(Data!A87),1,1,1,2,2,2,3,3,3,4,4,4)</f>
        <v>2000-Q2</v>
      </c>
      <c r="B79" s="15">
        <f>Data!C87*4</f>
        <v>1383140</v>
      </c>
      <c r="C79" s="14">
        <f>Data!B87*1000</f>
        <v>19028800</v>
      </c>
      <c r="D79" s="16">
        <f t="shared" ref="D79:D116" si="4">(B79*1000000)/C79</f>
        <v>72686.664424451359</v>
      </c>
      <c r="E79" t="str">
        <f t="shared" si="2"/>
        <v>{ quarter: "2000-Q2", annualized_gdp_million: 1383140, population_persons: 19028800, annualized_gdp_pc: 72687 },</v>
      </c>
    </row>
    <row r="80" spans="1:5" x14ac:dyDescent="0.35">
      <c r="A80" s="13" t="str">
        <f>TEXT(Data!A88,"yyyy") &amp; "-Q" &amp; CHOOSE(MONTH(Data!A88),1,1,1,2,2,2,3,3,3,4,4,4)</f>
        <v>2000-Q3</v>
      </c>
      <c r="B80" s="15">
        <f>Data!C88*4</f>
        <v>1386668</v>
      </c>
      <c r="C80" s="14">
        <f>Data!B88*1000</f>
        <v>19086000</v>
      </c>
      <c r="D80" s="16">
        <f t="shared" si="4"/>
        <v>72653.672849208844</v>
      </c>
      <c r="E80" t="str">
        <f t="shared" si="2"/>
        <v>{ quarter: "2000-Q3", annualized_gdp_million: 1386668, population_persons: 19086000, annualized_gdp_pc: 72654 },</v>
      </c>
    </row>
    <row r="81" spans="1:5" x14ac:dyDescent="0.35">
      <c r="A81" s="13" t="str">
        <f>TEXT(Data!A89,"yyyy") &amp; "-Q" &amp; CHOOSE(MONTH(Data!A89),1,1,1,2,2,2,3,3,3,4,4,4)</f>
        <v>2000-Q4</v>
      </c>
      <c r="B81" s="15">
        <f>Data!C89*4</f>
        <v>1381480</v>
      </c>
      <c r="C81" s="14">
        <f>Data!B89*1000</f>
        <v>19141000</v>
      </c>
      <c r="D81" s="16">
        <f t="shared" si="4"/>
        <v>72173.867614022252</v>
      </c>
      <c r="E81" t="str">
        <f t="shared" si="2"/>
        <v>{ quarter: "2000-Q4", annualized_gdp_million: 1381480, population_persons: 19141000, annualized_gdp_pc: 72174 },</v>
      </c>
    </row>
    <row r="82" spans="1:5" x14ac:dyDescent="0.35">
      <c r="A82" s="13" t="str">
        <f>TEXT(Data!A90,"yyyy") &amp; "-Q" &amp; CHOOSE(MONTH(Data!A90),1,1,1,2,2,2,3,3,3,4,4,4)</f>
        <v>2001-Q1</v>
      </c>
      <c r="B82" s="15">
        <f>Data!C90*4</f>
        <v>1394388</v>
      </c>
      <c r="C82" s="14">
        <f>Data!B90*1000</f>
        <v>19225200</v>
      </c>
      <c r="D82" s="16">
        <f t="shared" si="4"/>
        <v>72529.180450658518</v>
      </c>
      <c r="E82" t="str">
        <f t="shared" si="2"/>
        <v>{ quarter: "2001-Q1", annualized_gdp_million: 1394388, population_persons: 19225200, annualized_gdp_pc: 72529 },</v>
      </c>
    </row>
    <row r="83" spans="1:5" x14ac:dyDescent="0.35">
      <c r="A83" s="13" t="str">
        <f>TEXT(Data!A91,"yyyy") &amp; "-Q" &amp; CHOOSE(MONTH(Data!A91),1,1,1,2,2,2,3,3,3,4,4,4)</f>
        <v>2001-Q2</v>
      </c>
      <c r="B83" s="15">
        <f>Data!C91*4</f>
        <v>1406892</v>
      </c>
      <c r="C83" s="14">
        <f>Data!B91*1000</f>
        <v>19274700</v>
      </c>
      <c r="D83" s="16">
        <f t="shared" si="4"/>
        <v>72991.641893259046</v>
      </c>
      <c r="E83" t="str">
        <f t="shared" si="2"/>
        <v>{ quarter: "2001-Q2", annualized_gdp_million: 1406892, population_persons: 19274700, annualized_gdp_pc: 72992 },</v>
      </c>
    </row>
    <row r="84" spans="1:5" x14ac:dyDescent="0.35">
      <c r="A84" s="13" t="str">
        <f>TEXT(Data!A92,"yyyy") &amp; "-Q" &amp; CHOOSE(MONTH(Data!A92),1,1,1,2,2,2,3,3,3,4,4,4)</f>
        <v>2001-Q3</v>
      </c>
      <c r="B84" s="15">
        <f>Data!C92*4</f>
        <v>1423260</v>
      </c>
      <c r="C84" s="14">
        <f>Data!B92*1000</f>
        <v>19329100</v>
      </c>
      <c r="D84" s="16">
        <f t="shared" si="4"/>
        <v>73633.019643956519</v>
      </c>
      <c r="E84" t="str">
        <f>"{ quarter: """ &amp; A84 &amp; """, " &amp;
 "annualized_gdp_million: " &amp; TEXT(B84,"0") &amp; ", " &amp;
 "population_persons: " &amp; TEXT(C84,"0") &amp; ", " &amp;
 "annualized_gdp_pc: " &amp; TEXT(D84,"0") &amp; " },"</f>
        <v>{ quarter: "2001-Q3", annualized_gdp_million: 1423260, population_persons: 19329100, annualized_gdp_pc: 73633 },</v>
      </c>
    </row>
    <row r="85" spans="1:5" x14ac:dyDescent="0.35">
      <c r="A85" s="13" t="str">
        <f>TEXT(Data!A93,"yyyy") &amp; "-Q" &amp; CHOOSE(MONTH(Data!A93),1,1,1,2,2,2,3,3,3,4,4,4)</f>
        <v>2001-Q4</v>
      </c>
      <c r="B85" s="15">
        <f>Data!C93*4</f>
        <v>1440056</v>
      </c>
      <c r="C85" s="14">
        <f>Data!B93*1000</f>
        <v>19386500</v>
      </c>
      <c r="D85" s="16">
        <f t="shared" si="4"/>
        <v>74281.381373636294</v>
      </c>
      <c r="E85" t="str">
        <f t="shared" ref="E85:E121" si="5">"{ quarter: """ &amp; A85 &amp; """, " &amp;
 "annualized_gdp_million: " &amp; TEXT(B85,"0") &amp; ", " &amp;
 "population_persons: " &amp; TEXT(C85,"0") &amp; ", " &amp;
 "annualized_gdp_pc: " &amp; TEXT(D85,"0") &amp; " },"</f>
        <v>{ quarter: "2001-Q4", annualized_gdp_million: 1440056, population_persons: 19386500, annualized_gdp_pc: 74281 },</v>
      </c>
    </row>
    <row r="86" spans="1:5" x14ac:dyDescent="0.35">
      <c r="A86" s="13" t="str">
        <f>TEXT(Data!A94,"yyyy") &amp; "-Q" &amp; CHOOSE(MONTH(Data!A94),1,1,1,2,2,2,3,3,3,4,4,4)</f>
        <v>2002-Q1</v>
      </c>
      <c r="B86" s="15">
        <f>Data!C94*4</f>
        <v>1451400</v>
      </c>
      <c r="C86" s="14">
        <f>Data!B94*1000</f>
        <v>19453400</v>
      </c>
      <c r="D86" s="16">
        <f t="shared" si="4"/>
        <v>74609.065767423686</v>
      </c>
      <c r="E86" t="str">
        <f t="shared" si="5"/>
        <v>{ quarter: "2002-Q1", annualized_gdp_million: 1451400, population_persons: 19453400, annualized_gdp_pc: 74609 },</v>
      </c>
    </row>
    <row r="87" spans="1:5" x14ac:dyDescent="0.35">
      <c r="A87" s="13" t="str">
        <f>TEXT(Data!A95,"yyyy") &amp; "-Q" &amp; CHOOSE(MONTH(Data!A95),1,1,1,2,2,2,3,3,3,4,4,4)</f>
        <v>2002-Q2</v>
      </c>
      <c r="B87" s="15">
        <f>Data!C95*4</f>
        <v>1476352</v>
      </c>
      <c r="C87" s="14">
        <f>Data!B95*1000</f>
        <v>19495200</v>
      </c>
      <c r="D87" s="16">
        <f t="shared" si="4"/>
        <v>75728.999958964254</v>
      </c>
      <c r="E87" t="str">
        <f t="shared" si="5"/>
        <v>{ quarter: "2002-Q2", annualized_gdp_million: 1476352, population_persons: 19495200, annualized_gdp_pc: 75729 },</v>
      </c>
    </row>
    <row r="88" spans="1:5" x14ac:dyDescent="0.35">
      <c r="A88" s="13" t="str">
        <f>TEXT(Data!A96,"yyyy") &amp; "-Q" &amp; CHOOSE(MONTH(Data!A96),1,1,1,2,2,2,3,3,3,4,4,4)</f>
        <v>2002-Q3</v>
      </c>
      <c r="B88" s="15">
        <f>Data!C96*4</f>
        <v>1479976</v>
      </c>
      <c r="C88" s="14">
        <f>Data!B96*1000</f>
        <v>19548900</v>
      </c>
      <c r="D88" s="16">
        <f t="shared" si="4"/>
        <v>75706.356879415209</v>
      </c>
      <c r="E88" t="str">
        <f t="shared" si="5"/>
        <v>{ quarter: "2002-Q3", annualized_gdp_million: 1479976, population_persons: 19548900, annualized_gdp_pc: 75706 },</v>
      </c>
    </row>
    <row r="89" spans="1:5" x14ac:dyDescent="0.35">
      <c r="A89" s="13" t="str">
        <f>TEXT(Data!A97,"yyyy") &amp; "-Q" &amp; CHOOSE(MONTH(Data!A97),1,1,1,2,2,2,3,3,3,4,4,4)</f>
        <v>2002-Q4</v>
      </c>
      <c r="B89" s="15">
        <f>Data!C97*4</f>
        <v>1492464</v>
      </c>
      <c r="C89" s="14">
        <f>Data!B97*1000</f>
        <v>19605400</v>
      </c>
      <c r="D89" s="16">
        <f t="shared" si="4"/>
        <v>76125.149193589517</v>
      </c>
      <c r="E89" t="str">
        <f t="shared" si="5"/>
        <v>{ quarter: "2002-Q4", annualized_gdp_million: 1492464, population_persons: 19605400, annualized_gdp_pc: 76125 },</v>
      </c>
    </row>
    <row r="90" spans="1:5" x14ac:dyDescent="0.35">
      <c r="A90" s="13" t="str">
        <f>TEXT(Data!A98,"yyyy") &amp; "-Q" &amp; CHOOSE(MONTH(Data!A98),1,1,1,2,2,2,3,3,3,4,4,4)</f>
        <v>2003-Q1</v>
      </c>
      <c r="B90" s="15">
        <f>Data!C98*4</f>
        <v>1495768</v>
      </c>
      <c r="C90" s="14">
        <f>Data!B98*1000</f>
        <v>19676600</v>
      </c>
      <c r="D90" s="16">
        <f t="shared" si="4"/>
        <v>76017.604667473046</v>
      </c>
      <c r="E90" t="str">
        <f t="shared" si="5"/>
        <v>{ quarter: "2003-Q1", annualized_gdp_million: 1495768, population_persons: 19676600, annualized_gdp_pc: 76018 },</v>
      </c>
    </row>
    <row r="91" spans="1:5" x14ac:dyDescent="0.35">
      <c r="A91" s="13" t="str">
        <f>TEXT(Data!A99,"yyyy") &amp; "-Q" &amp; CHOOSE(MONTH(Data!A99),1,1,1,2,2,2,3,3,3,4,4,4)</f>
        <v>2003-Q2</v>
      </c>
      <c r="B91" s="15">
        <f>Data!C99*4</f>
        <v>1501844</v>
      </c>
      <c r="C91" s="14">
        <f>Data!B99*1000</f>
        <v>19720700</v>
      </c>
      <c r="D91" s="16">
        <f t="shared" si="4"/>
        <v>76155.714553743019</v>
      </c>
      <c r="E91" t="str">
        <f t="shared" si="5"/>
        <v>{ quarter: "2003-Q2", annualized_gdp_million: 1501844, population_persons: 19720700, annualized_gdp_pc: 76156 },</v>
      </c>
    </row>
    <row r="92" spans="1:5" x14ac:dyDescent="0.35">
      <c r="A92" s="13" t="str">
        <f>TEXT(Data!A100,"yyyy") &amp; "-Q" &amp; CHOOSE(MONTH(Data!A100),1,1,1,2,2,2,3,3,3,4,4,4)</f>
        <v>2003-Q3</v>
      </c>
      <c r="B92" s="15">
        <f>Data!C100*4</f>
        <v>1527304</v>
      </c>
      <c r="C92" s="14">
        <f>Data!B100*1000</f>
        <v>19773400</v>
      </c>
      <c r="D92" s="16">
        <f t="shared" si="4"/>
        <v>77240.33297257933</v>
      </c>
      <c r="E92" t="str">
        <f t="shared" si="5"/>
        <v>{ quarter: "2003-Q3", annualized_gdp_million: 1527304, population_persons: 19773400, annualized_gdp_pc: 77240 },</v>
      </c>
    </row>
    <row r="93" spans="1:5" x14ac:dyDescent="0.35">
      <c r="A93" s="13" t="str">
        <f>TEXT(Data!A101,"yyyy") &amp; "-Q" &amp; CHOOSE(MONTH(Data!A101),1,1,1,2,2,2,3,3,3,4,4,4)</f>
        <v>2003-Q4</v>
      </c>
      <c r="B93" s="15">
        <f>Data!C101*4</f>
        <v>1553196</v>
      </c>
      <c r="C93" s="14">
        <f>Data!B101*1000</f>
        <v>19827200</v>
      </c>
      <c r="D93" s="16">
        <f t="shared" si="4"/>
        <v>78336.628469980627</v>
      </c>
      <c r="E93" t="str">
        <f t="shared" si="5"/>
        <v>{ quarter: "2003-Q4", annualized_gdp_million: 1553196, population_persons: 19827200, annualized_gdp_pc: 78337 },</v>
      </c>
    </row>
    <row r="94" spans="1:5" x14ac:dyDescent="0.35">
      <c r="A94" s="13" t="str">
        <f>TEXT(Data!A102,"yyyy") &amp; "-Q" &amp; CHOOSE(MONTH(Data!A102),1,1,1,2,2,2,3,3,3,4,4,4)</f>
        <v>2004-Q1</v>
      </c>
      <c r="B94" s="15">
        <f>Data!C102*4</f>
        <v>1565040</v>
      </c>
      <c r="C94" s="14">
        <f>Data!B102*1000</f>
        <v>19894100</v>
      </c>
      <c r="D94" s="16">
        <f t="shared" si="4"/>
        <v>78668.549972102279</v>
      </c>
      <c r="E94" t="str">
        <f t="shared" si="5"/>
        <v>{ quarter: "2004-Q1", annualized_gdp_million: 1565040, population_persons: 19894100, annualized_gdp_pc: 78669 },</v>
      </c>
    </row>
    <row r="95" spans="1:5" x14ac:dyDescent="0.35">
      <c r="A95" s="13" t="str">
        <f>TEXT(Data!A103,"yyyy") &amp; "-Q" &amp; CHOOSE(MONTH(Data!A103),1,1,1,2,2,2,3,3,3,4,4,4)</f>
        <v>2004-Q2</v>
      </c>
      <c r="B95" s="15">
        <f>Data!C103*4</f>
        <v>1576708</v>
      </c>
      <c r="C95" s="14">
        <f>Data!B103*1000</f>
        <v>19932700</v>
      </c>
      <c r="D95" s="16">
        <f t="shared" si="4"/>
        <v>79101.576805952034</v>
      </c>
      <c r="E95" t="str">
        <f t="shared" si="5"/>
        <v>{ quarter: "2004-Q2", annualized_gdp_million: 1576708, population_persons: 19932700, annualized_gdp_pc: 79102 },</v>
      </c>
    </row>
    <row r="96" spans="1:5" x14ac:dyDescent="0.35">
      <c r="A96" s="13" t="str">
        <f>TEXT(Data!A104,"yyyy") &amp; "-Q" &amp; CHOOSE(MONTH(Data!A104),1,1,1,2,2,2,3,3,3,4,4,4)</f>
        <v>2004-Q3</v>
      </c>
      <c r="B96" s="15">
        <f>Data!C104*4</f>
        <v>1587120</v>
      </c>
      <c r="C96" s="14">
        <f>Data!B104*1000</f>
        <v>19989700</v>
      </c>
      <c r="D96" s="16">
        <f t="shared" si="4"/>
        <v>79396.889398039988</v>
      </c>
      <c r="E96" t="str">
        <f t="shared" si="5"/>
        <v>{ quarter: "2004-Q3", annualized_gdp_million: 1587120, population_persons: 19989700, annualized_gdp_pc: 79397 },</v>
      </c>
    </row>
    <row r="97" spans="1:5" x14ac:dyDescent="0.35">
      <c r="A97" s="13" t="str">
        <f>TEXT(Data!A105,"yyyy") &amp; "-Q" &amp; CHOOSE(MONTH(Data!A105),1,1,1,2,2,2,3,3,3,4,4,4)</f>
        <v>2004-Q4</v>
      </c>
      <c r="B97" s="15">
        <f>Data!C105*4</f>
        <v>1599264</v>
      </c>
      <c r="C97" s="14">
        <f>Data!B105*1000</f>
        <v>20046000</v>
      </c>
      <c r="D97" s="16">
        <f t="shared" si="4"/>
        <v>79779.706674648303</v>
      </c>
      <c r="E97" t="str">
        <f t="shared" si="5"/>
        <v>{ quarter: "2004-Q4", annualized_gdp_million: 1599264, population_persons: 20046000, annualized_gdp_pc: 79780 },</v>
      </c>
    </row>
    <row r="98" spans="1:5" x14ac:dyDescent="0.35">
      <c r="A98" s="13" t="str">
        <f>TEXT(Data!A106,"yyyy") &amp; "-Q" &amp; CHOOSE(MONTH(Data!A106),1,1,1,2,2,2,3,3,3,4,4,4)</f>
        <v>2005-Q1</v>
      </c>
      <c r="B98" s="15">
        <f>Data!C106*4</f>
        <v>1612464</v>
      </c>
      <c r="C98" s="14">
        <f>Data!B106*1000</f>
        <v>20126600</v>
      </c>
      <c r="D98" s="16">
        <f t="shared" si="4"/>
        <v>80116.065306609162</v>
      </c>
      <c r="E98" t="str">
        <f t="shared" si="5"/>
        <v>{ quarter: "2005-Q1", annualized_gdp_million: 1612464, population_persons: 20126600, annualized_gdp_pc: 80116 },</v>
      </c>
    </row>
    <row r="99" spans="1:5" x14ac:dyDescent="0.35">
      <c r="A99" s="13" t="str">
        <f>TEXT(Data!A107,"yyyy") &amp; "-Q" &amp; CHOOSE(MONTH(Data!A107),1,1,1,2,2,2,3,3,3,4,4,4)</f>
        <v>2005-Q2</v>
      </c>
      <c r="B99" s="15">
        <f>Data!C107*4</f>
        <v>1619656</v>
      </c>
      <c r="C99" s="14">
        <f>Data!B107*1000</f>
        <v>20176800</v>
      </c>
      <c r="D99" s="16">
        <f t="shared" si="4"/>
        <v>80273.185044209196</v>
      </c>
      <c r="E99" t="str">
        <f t="shared" si="5"/>
        <v>{ quarter: "2005-Q2", annualized_gdp_million: 1619656, population_persons: 20176800, annualized_gdp_pc: 80273 },</v>
      </c>
    </row>
    <row r="100" spans="1:5" x14ac:dyDescent="0.35">
      <c r="A100" s="13" t="str">
        <f>TEXT(Data!A108,"yyyy") &amp; "-Q" &amp; CHOOSE(MONTH(Data!A108),1,1,1,2,2,2,3,3,3,4,4,4)</f>
        <v>2005-Q3</v>
      </c>
      <c r="B100" s="15">
        <f>Data!C108*4</f>
        <v>1637032</v>
      </c>
      <c r="C100" s="14">
        <f>Data!B108*1000</f>
        <v>20244700</v>
      </c>
      <c r="D100" s="16">
        <f t="shared" si="4"/>
        <v>80862.250366762659</v>
      </c>
      <c r="E100" t="str">
        <f t="shared" si="5"/>
        <v>{ quarter: "2005-Q3", annualized_gdp_million: 1637032, population_persons: 20244700, annualized_gdp_pc: 80862 },</v>
      </c>
    </row>
    <row r="101" spans="1:5" x14ac:dyDescent="0.35">
      <c r="A101" s="13" t="str">
        <f>TEXT(Data!A109,"yyyy") &amp; "-Q" &amp; CHOOSE(MONTH(Data!A109),1,1,1,2,2,2,3,3,3,4,4,4)</f>
        <v>2005-Q4</v>
      </c>
      <c r="B101" s="15">
        <f>Data!C109*4</f>
        <v>1650700</v>
      </c>
      <c r="C101" s="14">
        <f>Data!B109*1000</f>
        <v>20311500</v>
      </c>
      <c r="D101" s="16">
        <f t="shared" si="4"/>
        <v>81269.231716022943</v>
      </c>
      <c r="E101" t="str">
        <f t="shared" si="5"/>
        <v>{ quarter: "2005-Q4", annualized_gdp_million: 1650700, population_persons: 20311500, annualized_gdp_pc: 81269 },</v>
      </c>
    </row>
    <row r="102" spans="1:5" x14ac:dyDescent="0.35">
      <c r="A102" s="13" t="str">
        <f>TEXT(Data!A110,"yyyy") &amp; "-Q" &amp; CHOOSE(MONTH(Data!A110),1,1,1,2,2,2,3,3,3,4,4,4)</f>
        <v>2006-Q1</v>
      </c>
      <c r="B102" s="15">
        <f>Data!C110*4</f>
        <v>1651788</v>
      </c>
      <c r="C102" s="14">
        <f>Data!B110*1000</f>
        <v>20398100</v>
      </c>
      <c r="D102" s="16">
        <f t="shared" si="4"/>
        <v>80977.542025973002</v>
      </c>
      <c r="E102" t="str">
        <f t="shared" si="5"/>
        <v>{ quarter: "2006-Q1", annualized_gdp_million: 1651788, population_persons: 20398100, annualized_gdp_pc: 80978 },</v>
      </c>
    </row>
    <row r="103" spans="1:5" x14ac:dyDescent="0.35">
      <c r="A103" s="13" t="str">
        <f>TEXT(Data!A111,"yyyy") &amp; "-Q" &amp; CHOOSE(MONTH(Data!A111),1,1,1,2,2,2,3,3,3,4,4,4)</f>
        <v>2006-Q2</v>
      </c>
      <c r="B103" s="15">
        <f>Data!C111*4</f>
        <v>1655832</v>
      </c>
      <c r="C103" s="14">
        <f>Data!B111*1000</f>
        <v>20451000</v>
      </c>
      <c r="D103" s="16">
        <f t="shared" si="4"/>
        <v>80965.820742261989</v>
      </c>
      <c r="E103" t="str">
        <f t="shared" si="5"/>
        <v>{ quarter: "2006-Q2", annualized_gdp_million: 1655832, population_persons: 20451000, annualized_gdp_pc: 80966 },</v>
      </c>
    </row>
    <row r="104" spans="1:5" x14ac:dyDescent="0.35">
      <c r="A104" s="13" t="str">
        <f>TEXT(Data!A112,"yyyy") &amp; "-Q" &amp; CHOOSE(MONTH(Data!A112),1,1,1,2,2,2,3,3,3,4,4,4)</f>
        <v>2006-Q3</v>
      </c>
      <c r="B104" s="15">
        <f>Data!C112*4</f>
        <v>1680916</v>
      </c>
      <c r="C104" s="14">
        <f>Data!B112*1000</f>
        <v>20542300</v>
      </c>
      <c r="D104" s="16">
        <f t="shared" si="4"/>
        <v>81827.059287421565</v>
      </c>
      <c r="E104" t="str">
        <f t="shared" si="5"/>
        <v>{ quarter: "2006-Q3", annualized_gdp_million: 1680916, population_persons: 20542300, annualized_gdp_pc: 81827 },</v>
      </c>
    </row>
    <row r="105" spans="1:5" x14ac:dyDescent="0.35">
      <c r="A105" s="13" t="str">
        <f>TEXT(Data!A113,"yyyy") &amp; "-Q" &amp; CHOOSE(MONTH(Data!A113),1,1,1,2,2,2,3,3,3,4,4,4)</f>
        <v>2006-Q4</v>
      </c>
      <c r="B105" s="15">
        <f>Data!C113*4</f>
        <v>1702100</v>
      </c>
      <c r="C105" s="14">
        <f>Data!B113*1000</f>
        <v>20627500</v>
      </c>
      <c r="D105" s="16">
        <f t="shared" si="4"/>
        <v>82516.058659556424</v>
      </c>
      <c r="E105" t="str">
        <f t="shared" si="5"/>
        <v>{ quarter: "2006-Q4", annualized_gdp_million: 1702100, population_persons: 20627500, annualized_gdp_pc: 82516 },</v>
      </c>
    </row>
    <row r="106" spans="1:5" x14ac:dyDescent="0.35">
      <c r="A106" s="13" t="str">
        <f>TEXT(Data!A114,"yyyy") &amp; "-Q" &amp; CHOOSE(MONTH(Data!A114),1,1,1,2,2,2,3,3,3,4,4,4)</f>
        <v>2007-Q1</v>
      </c>
      <c r="B106" s="15">
        <f>Data!C114*4</f>
        <v>1725204</v>
      </c>
      <c r="C106" s="14">
        <f>Data!B114*1000</f>
        <v>20742800</v>
      </c>
      <c r="D106" s="16">
        <f t="shared" si="4"/>
        <v>83171.220857357737</v>
      </c>
      <c r="E106" t="str">
        <f t="shared" si="5"/>
        <v>{ quarter: "2007-Q1", annualized_gdp_million: 1725204, population_persons: 20742800, annualized_gdp_pc: 83171 },</v>
      </c>
    </row>
    <row r="107" spans="1:5" x14ac:dyDescent="0.35">
      <c r="A107" s="13" t="str">
        <f>TEXT(Data!A115,"yyyy") &amp; "-Q" &amp; CHOOSE(MONTH(Data!A115),1,1,1,2,2,2,3,3,3,4,4,4)</f>
        <v>2007-Q2</v>
      </c>
      <c r="B107" s="15">
        <f>Data!C115*4</f>
        <v>1736000</v>
      </c>
      <c r="C107" s="14">
        <f>Data!B115*1000</f>
        <v>20827600</v>
      </c>
      <c r="D107" s="16">
        <f t="shared" si="4"/>
        <v>83350.93817818664</v>
      </c>
      <c r="E107" t="str">
        <f t="shared" si="5"/>
        <v>{ quarter: "2007-Q2", annualized_gdp_million: 1736000, population_persons: 20827600, annualized_gdp_pc: 83351 },</v>
      </c>
    </row>
    <row r="108" spans="1:5" x14ac:dyDescent="0.35">
      <c r="A108" s="13" t="str">
        <f>TEXT(Data!A116,"yyyy") &amp; "-Q" &amp; CHOOSE(MONTH(Data!A116),1,1,1,2,2,2,3,3,3,4,4,4)</f>
        <v>2007-Q3</v>
      </c>
      <c r="B108" s="15">
        <f>Data!C116*4</f>
        <v>1756792</v>
      </c>
      <c r="C108" s="14">
        <f>Data!B116*1000</f>
        <v>20924200</v>
      </c>
      <c r="D108" s="16">
        <f t="shared" si="4"/>
        <v>83959.816862771331</v>
      </c>
      <c r="E108" t="str">
        <f t="shared" si="5"/>
        <v>{ quarter: "2007-Q3", annualized_gdp_million: 1756792, population_persons: 20924200, annualized_gdp_pc: 83960 },</v>
      </c>
    </row>
    <row r="109" spans="1:5" x14ac:dyDescent="0.35">
      <c r="A109" s="13" t="str">
        <f>TEXT(Data!A117,"yyyy") &amp; "-Q" &amp; CHOOSE(MONTH(Data!A117),1,1,1,2,2,2,3,3,3,4,4,4)</f>
        <v>2007-Q4</v>
      </c>
      <c r="B109" s="15">
        <f>Data!C117*4</f>
        <v>1762968</v>
      </c>
      <c r="C109" s="14">
        <f>Data!B117*1000</f>
        <v>21016100</v>
      </c>
      <c r="D109" s="16">
        <f t="shared" si="4"/>
        <v>83886.544125694112</v>
      </c>
      <c r="E109" t="str">
        <f t="shared" si="5"/>
        <v>{ quarter: "2007-Q4", annualized_gdp_million: 1762968, population_persons: 21016100, annualized_gdp_pc: 83887 },</v>
      </c>
    </row>
    <row r="110" spans="1:5" x14ac:dyDescent="0.35">
      <c r="A110" s="13" t="str">
        <f>TEXT(Data!A118,"yyyy") &amp; "-Q" &amp; CHOOSE(MONTH(Data!A118),1,1,1,2,2,2,3,3,3,4,4,4)</f>
        <v>2008-Q1</v>
      </c>
      <c r="B110" s="15">
        <f>Data!C118*4</f>
        <v>1782132</v>
      </c>
      <c r="C110" s="14">
        <f>Data!B118*1000</f>
        <v>21148900</v>
      </c>
      <c r="D110" s="16">
        <f t="shared" si="4"/>
        <v>84265.942909560312</v>
      </c>
      <c r="E110" t="str">
        <f t="shared" si="5"/>
        <v>{ quarter: "2008-Q1", annualized_gdp_million: 1782132, population_persons: 21148900, annualized_gdp_pc: 84266 },</v>
      </c>
    </row>
    <row r="111" spans="1:5" x14ac:dyDescent="0.35">
      <c r="A111" s="13" t="str">
        <f>TEXT(Data!A119,"yyyy") &amp; "-Q" &amp; CHOOSE(MONTH(Data!A119),1,1,1,2,2,2,3,3,3,4,4,4)</f>
        <v>2008-Q2</v>
      </c>
      <c r="B111" s="15">
        <f>Data!C119*4</f>
        <v>1787776</v>
      </c>
      <c r="C111" s="14">
        <f>Data!B119*1000</f>
        <v>21249200</v>
      </c>
      <c r="D111" s="16">
        <f t="shared" si="4"/>
        <v>84133.802684336348</v>
      </c>
      <c r="E111" t="str">
        <f t="shared" si="5"/>
        <v>{ quarter: "2008-Q2", annualized_gdp_million: 1787776, population_persons: 21249200, annualized_gdp_pc: 84134 },</v>
      </c>
    </row>
    <row r="112" spans="1:5" x14ac:dyDescent="0.35">
      <c r="A112" s="13" t="str">
        <f>TEXT(Data!A120,"yyyy") &amp; "-Q" &amp; CHOOSE(MONTH(Data!A120),1,1,1,2,2,2,3,3,3,4,4,4)</f>
        <v>2008-Q3</v>
      </c>
      <c r="B112" s="15">
        <f>Data!C120*4</f>
        <v>1799872</v>
      </c>
      <c r="C112" s="14">
        <f>Data!B120*1000</f>
        <v>21366000</v>
      </c>
      <c r="D112" s="16">
        <f t="shared" si="4"/>
        <v>84240.007488533185</v>
      </c>
      <c r="E112" t="str">
        <f t="shared" si="5"/>
        <v>{ quarter: "2008-Q3", annualized_gdp_million: 1799872, population_persons: 21366000, annualized_gdp_pc: 84240 },</v>
      </c>
    </row>
    <row r="113" spans="1:5" x14ac:dyDescent="0.35">
      <c r="A113" s="13" t="str">
        <f>TEXT(Data!A121,"yyyy") &amp; "-Q" &amp; CHOOSE(MONTH(Data!A121),1,1,1,2,2,2,3,3,3,4,4,4)</f>
        <v>2008-Q4</v>
      </c>
      <c r="B113" s="15">
        <f>Data!C121*4</f>
        <v>1792328</v>
      </c>
      <c r="C113" s="14">
        <f>Data!B121*1000</f>
        <v>21475600</v>
      </c>
      <c r="D113" s="16">
        <f t="shared" si="4"/>
        <v>83458.809067034221</v>
      </c>
      <c r="E113" t="str">
        <f t="shared" si="5"/>
        <v>{ quarter: "2008-Q4", annualized_gdp_million: 1792328, population_persons: 21475600, annualized_gdp_pc: 83459 },</v>
      </c>
    </row>
    <row r="114" spans="1:5" x14ac:dyDescent="0.35">
      <c r="A114" s="13" t="str">
        <f>TEXT(Data!A122,"yyyy") &amp; "-Q" &amp; CHOOSE(MONTH(Data!A122),1,1,1,2,2,2,3,3,3,4,4,4)</f>
        <v>2009-Q1</v>
      </c>
      <c r="B114" s="15">
        <f>Data!C122*4</f>
        <v>1810060</v>
      </c>
      <c r="C114" s="14">
        <f>Data!B122*1000</f>
        <v>21601700</v>
      </c>
      <c r="D114" s="16">
        <f t="shared" si="4"/>
        <v>83792.479295610989</v>
      </c>
      <c r="E114" t="str">
        <f t="shared" si="5"/>
        <v>{ quarter: "2009-Q1", annualized_gdp_million: 1810060, population_persons: 21601700, annualized_gdp_pc: 83792 },</v>
      </c>
    </row>
    <row r="115" spans="1:5" x14ac:dyDescent="0.35">
      <c r="A115" s="13" t="str">
        <f>TEXT(Data!A123,"yyyy") &amp; "-Q" &amp; CHOOSE(MONTH(Data!A123),1,1,1,2,2,2,3,3,3,4,4,4)</f>
        <v>2009-Q2</v>
      </c>
      <c r="B115" s="15">
        <f>Data!C123*4</f>
        <v>1821592</v>
      </c>
      <c r="C115" s="14">
        <f>Data!B123*1000</f>
        <v>21691700</v>
      </c>
      <c r="D115" s="16">
        <f t="shared" si="4"/>
        <v>83976.451822586518</v>
      </c>
      <c r="E115" t="str">
        <f t="shared" si="5"/>
        <v>{ quarter: "2009-Q2", annualized_gdp_million: 1821592, population_persons: 21691700, annualized_gdp_pc: 83976 },</v>
      </c>
    </row>
    <row r="116" spans="1:5" x14ac:dyDescent="0.35">
      <c r="A116" s="13" t="str">
        <f>TEXT(Data!A124,"yyyy") &amp; "-Q" &amp; CHOOSE(MONTH(Data!A124),1,1,1,2,2,2,3,3,3,4,4,4)</f>
        <v>2009-Q3</v>
      </c>
      <c r="B116" s="15">
        <f>Data!C124*4</f>
        <v>1828156</v>
      </c>
      <c r="C116" s="14">
        <f>Data!B124*1000</f>
        <v>21788100</v>
      </c>
      <c r="D116" s="16">
        <f t="shared" si="4"/>
        <v>83906.168963792166</v>
      </c>
      <c r="E116" t="str">
        <f t="shared" si="5"/>
        <v>{ quarter: "2009-Q3", annualized_gdp_million: 1828156, population_persons: 21788100, annualized_gdp_pc: 83906 },</v>
      </c>
    </row>
    <row r="117" spans="1:5" x14ac:dyDescent="0.35">
      <c r="A117" s="13" t="str">
        <f>TEXT(Data!A125,"yyyy") &amp; "-Q" &amp; CHOOSE(MONTH(Data!A125),1,1,1,2,2,2,3,3,3,4,4,4)</f>
        <v>2009-Q4</v>
      </c>
      <c r="B117" s="15">
        <f>Data!C125*4</f>
        <v>1842936</v>
      </c>
      <c r="C117" s="14">
        <f>Data!B125*1000</f>
        <v>21865600</v>
      </c>
      <c r="D117" s="16">
        <f>(B117*1000000)/C117</f>
        <v>84284.721205912487</v>
      </c>
      <c r="E117" t="str">
        <f t="shared" si="5"/>
        <v>{ quarter: "2009-Q4", annualized_gdp_million: 1842936, population_persons: 21865600, annualized_gdp_pc: 84285 },</v>
      </c>
    </row>
    <row r="118" spans="1:5" x14ac:dyDescent="0.35">
      <c r="A118" s="13" t="str">
        <f>TEXT(Data!A126,"yyyy") &amp; "-Q" &amp; CHOOSE(MONTH(Data!A126),1,1,1,2,2,2,3,3,3,4,4,4)</f>
        <v>2010-Q1</v>
      </c>
      <c r="B118" s="15">
        <f>Data!C126*4</f>
        <v>1850972</v>
      </c>
      <c r="C118" s="14">
        <f>Data!B126*1000</f>
        <v>21964100</v>
      </c>
      <c r="D118" s="16">
        <f t="shared" ref="D118:D146" si="6">(B118*1000000)/C118</f>
        <v>84272.608483844087</v>
      </c>
      <c r="E118" t="str">
        <f t="shared" si="5"/>
        <v>{ quarter: "2010-Q1", annualized_gdp_million: 1850972, population_persons: 21964100, annualized_gdp_pc: 84273 },</v>
      </c>
    </row>
    <row r="119" spans="1:5" x14ac:dyDescent="0.35">
      <c r="A119" s="13" t="str">
        <f>TEXT(Data!A127,"yyyy") &amp; "-Q" &amp; CHOOSE(MONTH(Data!A127),1,1,1,2,2,2,3,3,3,4,4,4)</f>
        <v>2010-Q2</v>
      </c>
      <c r="B119" s="15">
        <f>Data!C127*4</f>
        <v>1862152</v>
      </c>
      <c r="C119" s="14">
        <f>Data!B127*1000</f>
        <v>22031800</v>
      </c>
      <c r="D119" s="16">
        <f t="shared" si="6"/>
        <v>84521.101317186971</v>
      </c>
      <c r="E119" t="str">
        <f t="shared" si="5"/>
        <v>{ quarter: "2010-Q2", annualized_gdp_million: 1862152, population_persons: 22031800, annualized_gdp_pc: 84521 },</v>
      </c>
    </row>
    <row r="120" spans="1:5" x14ac:dyDescent="0.35">
      <c r="A120" s="13" t="str">
        <f>TEXT(Data!A128,"yyyy") &amp; "-Q" &amp; CHOOSE(MONTH(Data!A128),1,1,1,2,2,2,3,3,3,4,4,4)</f>
        <v>2010-Q3</v>
      </c>
      <c r="B120" s="15">
        <f>Data!C128*4</f>
        <v>1875488</v>
      </c>
      <c r="C120" s="14">
        <f>Data!B128*1000</f>
        <v>22104400</v>
      </c>
      <c r="D120" s="16">
        <f t="shared" si="6"/>
        <v>84846.817828124724</v>
      </c>
      <c r="E120" t="str">
        <f t="shared" si="5"/>
        <v>{ quarter: "2010-Q3", annualized_gdp_million: 1875488, population_persons: 22104400, annualized_gdp_pc: 84847 },</v>
      </c>
    </row>
    <row r="121" spans="1:5" x14ac:dyDescent="0.35">
      <c r="A121" s="13" t="str">
        <f>TEXT(Data!A129,"yyyy") &amp; "-Q" &amp; CHOOSE(MONTH(Data!A129),1,1,1,2,2,2,3,3,3,4,4,4)</f>
        <v>2010-Q4</v>
      </c>
      <c r="B121" s="15">
        <f>Data!C129*4</f>
        <v>1890808</v>
      </c>
      <c r="C121" s="14">
        <f>Data!B129*1000</f>
        <v>22172500</v>
      </c>
      <c r="D121" s="16">
        <f t="shared" si="6"/>
        <v>85277.167662645166</v>
      </c>
      <c r="E121" t="str">
        <f t="shared" si="5"/>
        <v>{ quarter: "2010-Q4", annualized_gdp_million: 1890808, population_persons: 22172500, annualized_gdp_pc: 85277 },</v>
      </c>
    </row>
    <row r="122" spans="1:5" x14ac:dyDescent="0.35">
      <c r="A122" s="13" t="str">
        <f>TEXT(Data!A130,"yyyy") &amp; "-Q" &amp; CHOOSE(MONTH(Data!A130),1,1,1,2,2,2,3,3,3,4,4,4)</f>
        <v>2011-Q1</v>
      </c>
      <c r="B122" s="15">
        <f>Data!C130*4</f>
        <v>1886708</v>
      </c>
      <c r="C122" s="14">
        <f>Data!B130*1000</f>
        <v>22268800</v>
      </c>
      <c r="D122" s="16">
        <f t="shared" si="6"/>
        <v>84724.277913493323</v>
      </c>
      <c r="E122" t="str">
        <f>"{ quarter: """ &amp; A122 &amp; """, " &amp;
 "annualized_gdp_million: " &amp; TEXT(B122,"0") &amp; ", " &amp;
 "population_persons: " &amp; TEXT(C122,"0") &amp; ", " &amp;
 "annualized_gdp_pc: " &amp; TEXT(D122,"0") &amp; " },"</f>
        <v>{ quarter: "2011-Q1", annualized_gdp_million: 1886708, population_persons: 22268800, annualized_gdp_pc: 84724 },</v>
      </c>
    </row>
    <row r="123" spans="1:5" x14ac:dyDescent="0.35">
      <c r="A123" s="13" t="str">
        <f>TEXT(Data!A131,"yyyy") &amp; "-Q" &amp; CHOOSE(MONTH(Data!A131),1,1,1,2,2,2,3,3,3,4,4,4)</f>
        <v>2011-Q2</v>
      </c>
      <c r="B123" s="15">
        <f>Data!C131*4</f>
        <v>1908956</v>
      </c>
      <c r="C123" s="14">
        <f>Data!B131*1000</f>
        <v>22340000</v>
      </c>
      <c r="D123" s="16">
        <f t="shared" si="6"/>
        <v>85450.134288272151</v>
      </c>
      <c r="E123" t="str">
        <f t="shared" ref="E123:E168" si="7">"{ quarter: """ &amp; A123 &amp; """, " &amp;
 "annualized_gdp_million: " &amp; TEXT(B123,"0") &amp; ", " &amp;
 "population_persons: " &amp; TEXT(C123,"0") &amp; ", " &amp;
 "annualized_gdp_pc: " &amp; TEXT(D123,"0") &amp; " },"</f>
        <v>{ quarter: "2011-Q2", annualized_gdp_million: 1908956, population_persons: 22340000, annualized_gdp_pc: 85450 },</v>
      </c>
    </row>
    <row r="124" spans="1:5" x14ac:dyDescent="0.35">
      <c r="A124" s="13" t="str">
        <f>TEXT(Data!A132,"yyyy") &amp; "-Q" &amp; CHOOSE(MONTH(Data!A132),1,1,1,2,2,2,3,3,3,4,4,4)</f>
        <v>2011-Q3</v>
      </c>
      <c r="B124" s="15">
        <f>Data!C132*4</f>
        <v>1935520</v>
      </c>
      <c r="C124" s="14">
        <f>Data!B132*1000</f>
        <v>22432800</v>
      </c>
      <c r="D124" s="16">
        <f t="shared" si="6"/>
        <v>86280.80310973218</v>
      </c>
      <c r="E124" t="str">
        <f t="shared" si="7"/>
        <v>{ quarter: "2011-Q3", annualized_gdp_million: 1935520, population_persons: 22432800, annualized_gdp_pc: 86281 },</v>
      </c>
    </row>
    <row r="125" spans="1:5" x14ac:dyDescent="0.35">
      <c r="A125" s="13" t="str">
        <f>TEXT(Data!A133,"yyyy") &amp; "-Q" &amp; CHOOSE(MONTH(Data!A133),1,1,1,2,2,2,3,3,3,4,4,4)</f>
        <v>2011-Q4</v>
      </c>
      <c r="B125" s="15">
        <f>Data!C133*4</f>
        <v>1956572</v>
      </c>
      <c r="C125" s="14">
        <f>Data!B133*1000</f>
        <v>22522200</v>
      </c>
      <c r="D125" s="16">
        <f t="shared" si="6"/>
        <v>86873.040821944567</v>
      </c>
      <c r="E125" t="str">
        <f t="shared" si="7"/>
        <v>{ quarter: "2011-Q4", annualized_gdp_million: 1956572, population_persons: 22522200, annualized_gdp_pc: 86873 },</v>
      </c>
    </row>
    <row r="126" spans="1:5" x14ac:dyDescent="0.35">
      <c r="A126" s="13" t="str">
        <f>TEXT(Data!A134,"yyyy") &amp; "-Q" &amp; CHOOSE(MONTH(Data!A134),1,1,1,2,2,2,3,3,3,4,4,4)</f>
        <v>2012-Q1</v>
      </c>
      <c r="B126" s="15">
        <f>Data!C134*4</f>
        <v>1976112</v>
      </c>
      <c r="C126" s="14">
        <f>Data!B134*1000</f>
        <v>22640900</v>
      </c>
      <c r="D126" s="16">
        <f t="shared" si="6"/>
        <v>87280.629303605427</v>
      </c>
      <c r="E126" t="str">
        <f t="shared" si="7"/>
        <v>{ quarter: "2012-Q1", annualized_gdp_million: 1976112, population_persons: 22640900, annualized_gdp_pc: 87281 },</v>
      </c>
    </row>
    <row r="127" spans="1:5" x14ac:dyDescent="0.35">
      <c r="A127" s="13" t="str">
        <f>TEXT(Data!A135,"yyyy") &amp; "-Q" &amp; CHOOSE(MONTH(Data!A135),1,1,1,2,2,2,3,3,3,4,4,4)</f>
        <v>2012-Q2</v>
      </c>
      <c r="B127" s="15">
        <f>Data!C135*4</f>
        <v>1989936</v>
      </c>
      <c r="C127" s="14">
        <f>Data!B135*1000</f>
        <v>22733500</v>
      </c>
      <c r="D127" s="16">
        <f t="shared" si="6"/>
        <v>87533.199903226516</v>
      </c>
      <c r="E127" t="str">
        <f t="shared" si="7"/>
        <v>{ quarter: "2012-Q2", annualized_gdp_million: 1989936, population_persons: 22733500, annualized_gdp_pc: 87533 },</v>
      </c>
    </row>
    <row r="128" spans="1:5" x14ac:dyDescent="0.35">
      <c r="A128" s="13" t="str">
        <f>TEXT(Data!A136,"yyyy") &amp; "-Q" &amp; CHOOSE(MONTH(Data!A136),1,1,1,2,2,2,3,3,3,4,4,4)</f>
        <v>2012-Q3</v>
      </c>
      <c r="B128" s="15">
        <f>Data!C136*4</f>
        <v>2002412</v>
      </c>
      <c r="C128" s="14">
        <f>Data!B136*1000</f>
        <v>22833900</v>
      </c>
      <c r="D128" s="16">
        <f t="shared" si="6"/>
        <v>87694.699547602475</v>
      </c>
      <c r="E128" t="str">
        <f t="shared" si="7"/>
        <v>{ quarter: "2012-Q3", annualized_gdp_million: 2002412, population_persons: 22833900, annualized_gdp_pc: 87695 },</v>
      </c>
    </row>
    <row r="129" spans="1:5" x14ac:dyDescent="0.35">
      <c r="A129" s="13" t="str">
        <f>TEXT(Data!A137,"yyyy") &amp; "-Q" &amp; CHOOSE(MONTH(Data!A137),1,1,1,2,2,2,3,3,3,4,4,4)</f>
        <v>2012-Q4</v>
      </c>
      <c r="B129" s="15">
        <f>Data!C137*4</f>
        <v>2010576</v>
      </c>
      <c r="C129" s="14">
        <f>Data!B137*1000</f>
        <v>22928000</v>
      </c>
      <c r="D129" s="16">
        <f t="shared" si="6"/>
        <v>87690.858339148646</v>
      </c>
      <c r="E129" t="str">
        <f t="shared" si="7"/>
        <v>{ quarter: "2012-Q4", annualized_gdp_million: 2010576, population_persons: 22928000, annualized_gdp_pc: 87691 },</v>
      </c>
    </row>
    <row r="130" spans="1:5" x14ac:dyDescent="0.35">
      <c r="A130" s="13" t="str">
        <f>TEXT(Data!A138,"yyyy") &amp; "-Q" &amp; CHOOSE(MONTH(Data!A138),1,1,1,2,2,2,3,3,3,4,4,4)</f>
        <v>2013-Q1</v>
      </c>
      <c r="B130" s="15">
        <f>Data!C138*4</f>
        <v>2021068</v>
      </c>
      <c r="C130" s="14">
        <f>Data!B138*1000</f>
        <v>23043000</v>
      </c>
      <c r="D130" s="16">
        <f t="shared" si="6"/>
        <v>87708.544894327992</v>
      </c>
      <c r="E130" t="str">
        <f t="shared" si="7"/>
        <v>{ quarter: "2013-Q1", annualized_gdp_million: 2021068, population_persons: 23043000, annualized_gdp_pc: 87709 },</v>
      </c>
    </row>
    <row r="131" spans="1:5" x14ac:dyDescent="0.35">
      <c r="A131" s="13" t="str">
        <f>TEXT(Data!A139,"yyyy") &amp; "-Q" &amp; CHOOSE(MONTH(Data!A139),1,1,1,2,2,2,3,3,3,4,4,4)</f>
        <v>2013-Q2</v>
      </c>
      <c r="B131" s="15">
        <f>Data!C139*4</f>
        <v>2028572</v>
      </c>
      <c r="C131" s="14">
        <f>Data!B139*1000</f>
        <v>23128100</v>
      </c>
      <c r="D131" s="16">
        <f t="shared" si="6"/>
        <v>87710.274514551566</v>
      </c>
      <c r="E131" t="str">
        <f t="shared" si="7"/>
        <v>{ quarter: "2013-Q2", annualized_gdp_million: 2028572, population_persons: 23128100, annualized_gdp_pc: 87710 },</v>
      </c>
    </row>
    <row r="132" spans="1:5" x14ac:dyDescent="0.35">
      <c r="A132" s="13" t="str">
        <f>TEXT(Data!A140,"yyyy") &amp; "-Q" &amp; CHOOSE(MONTH(Data!A140),1,1,1,2,2,2,3,3,3,4,4,4)</f>
        <v>2013-Q3</v>
      </c>
      <c r="B132" s="15">
        <f>Data!C140*4</f>
        <v>2045088</v>
      </c>
      <c r="C132" s="14">
        <f>Data!B140*1000</f>
        <v>23220200</v>
      </c>
      <c r="D132" s="16">
        <f t="shared" si="6"/>
        <v>88073.660002928489</v>
      </c>
      <c r="E132" t="str">
        <f t="shared" si="7"/>
        <v>{ quarter: "2013-Q3", annualized_gdp_million: 2045088, population_persons: 23220200, annualized_gdp_pc: 88074 },</v>
      </c>
    </row>
    <row r="133" spans="1:5" x14ac:dyDescent="0.35">
      <c r="A133" s="13" t="str">
        <f>TEXT(Data!A141,"yyyy") &amp; "-Q" &amp; CHOOSE(MONTH(Data!A141),1,1,1,2,2,2,3,3,3,4,4,4)</f>
        <v>2013-Q4</v>
      </c>
      <c r="B133" s="15">
        <f>Data!C141*4</f>
        <v>2061360</v>
      </c>
      <c r="C133" s="14">
        <f>Data!B141*1000</f>
        <v>23297800</v>
      </c>
      <c r="D133" s="16">
        <f t="shared" si="6"/>
        <v>88478.740481933914</v>
      </c>
      <c r="E133" t="str">
        <f t="shared" si="7"/>
        <v>{ quarter: "2013-Q4", annualized_gdp_million: 2061360, population_persons: 23297800, annualized_gdp_pc: 88479 },</v>
      </c>
    </row>
    <row r="134" spans="1:5" x14ac:dyDescent="0.35">
      <c r="A134" s="13" t="str">
        <f>TEXT(Data!A142,"yyyy") &amp; "-Q" &amp; CHOOSE(MONTH(Data!A142),1,1,1,2,2,2,3,3,3,4,4,4)</f>
        <v>2014-Q1</v>
      </c>
      <c r="B134" s="15">
        <f>Data!C142*4</f>
        <v>2077504</v>
      </c>
      <c r="C134" s="14">
        <f>Data!B142*1000</f>
        <v>23406200</v>
      </c>
      <c r="D134" s="16">
        <f t="shared" si="6"/>
        <v>88758.704958515271</v>
      </c>
      <c r="E134" t="str">
        <f t="shared" si="7"/>
        <v>{ quarter: "2014-Q1", annualized_gdp_million: 2077504, population_persons: 23406200, annualized_gdp_pc: 88759 },</v>
      </c>
    </row>
    <row r="135" spans="1:5" x14ac:dyDescent="0.35">
      <c r="A135" s="13" t="str">
        <f>TEXT(Data!A143,"yyyy") &amp; "-Q" &amp; CHOOSE(MONTH(Data!A143),1,1,1,2,2,2,3,3,3,4,4,4)</f>
        <v>2014-Q2</v>
      </c>
      <c r="B135" s="15">
        <f>Data!C143*4</f>
        <v>2087920</v>
      </c>
      <c r="C135" s="14">
        <f>Data!B143*1000</f>
        <v>23475700</v>
      </c>
      <c r="D135" s="16">
        <f t="shared" si="6"/>
        <v>88939.626933382184</v>
      </c>
      <c r="E135" t="str">
        <f t="shared" si="7"/>
        <v>{ quarter: "2014-Q2", annualized_gdp_million: 2087920, population_persons: 23475700, annualized_gdp_pc: 88940 },</v>
      </c>
    </row>
    <row r="136" spans="1:5" x14ac:dyDescent="0.35">
      <c r="A136" s="13" t="str">
        <f>TEXT(Data!A144,"yyyy") &amp; "-Q" &amp; CHOOSE(MONTH(Data!A144),1,1,1,2,2,2,3,3,3,4,4,4)</f>
        <v>2014-Q3</v>
      </c>
      <c r="B136" s="15">
        <f>Data!C144*4</f>
        <v>2096332</v>
      </c>
      <c r="C136" s="14">
        <f>Data!B144*1000</f>
        <v>23562900</v>
      </c>
      <c r="D136" s="16">
        <f t="shared" si="6"/>
        <v>88967.487024092959</v>
      </c>
      <c r="E136" t="str">
        <f t="shared" si="7"/>
        <v>{ quarter: "2014-Q3", annualized_gdp_million: 2096332, population_persons: 23562900, annualized_gdp_pc: 88967 },</v>
      </c>
    </row>
    <row r="137" spans="1:5" x14ac:dyDescent="0.35">
      <c r="A137" s="13" t="str">
        <f>TEXT(Data!A145,"yyyy") &amp; "-Q" &amp; CHOOSE(MONTH(Data!A145),1,1,1,2,2,2,3,3,3,4,4,4)</f>
        <v>2014-Q4</v>
      </c>
      <c r="B137" s="15">
        <f>Data!C145*4</f>
        <v>2104304</v>
      </c>
      <c r="C137" s="14">
        <f>Data!B145*1000</f>
        <v>23640300</v>
      </c>
      <c r="D137" s="16">
        <f t="shared" si="6"/>
        <v>89013.421995490746</v>
      </c>
      <c r="E137" t="str">
        <f t="shared" si="7"/>
        <v>{ quarter: "2014-Q4", annualized_gdp_million: 2104304, population_persons: 23640300, annualized_gdp_pc: 89013 },</v>
      </c>
    </row>
    <row r="138" spans="1:5" x14ac:dyDescent="0.35">
      <c r="A138" s="13" t="str">
        <f>TEXT(Data!A146,"yyyy") &amp; "-Q" &amp; CHOOSE(MONTH(Data!A146),1,1,1,2,2,2,3,3,3,4,4,4)</f>
        <v>2015-Q1</v>
      </c>
      <c r="B138" s="15">
        <f>Data!C146*4</f>
        <v>2125012</v>
      </c>
      <c r="C138" s="14">
        <f>Data!B146*1000</f>
        <v>23745600</v>
      </c>
      <c r="D138" s="16">
        <f t="shared" si="6"/>
        <v>89490.768816117517</v>
      </c>
      <c r="E138" t="str">
        <f t="shared" si="7"/>
        <v>{ quarter: "2015-Q1", annualized_gdp_million: 2125012, population_persons: 23745600, annualized_gdp_pc: 89491 },</v>
      </c>
    </row>
    <row r="139" spans="1:5" x14ac:dyDescent="0.35">
      <c r="A139" s="13" t="str">
        <f>TEXT(Data!A147,"yyyy") &amp; "-Q" &amp; CHOOSE(MONTH(Data!A147),1,1,1,2,2,2,3,3,3,4,4,4)</f>
        <v>2015-Q2</v>
      </c>
      <c r="B139" s="15">
        <f>Data!C147*4</f>
        <v>2127392</v>
      </c>
      <c r="C139" s="14">
        <f>Data!B147*1000</f>
        <v>23816000</v>
      </c>
      <c r="D139" s="16">
        <f t="shared" si="6"/>
        <v>89326.167282499155</v>
      </c>
      <c r="E139" t="str">
        <f t="shared" si="7"/>
        <v>{ quarter: "2015-Q2", annualized_gdp_million: 2127392, population_persons: 23816000, annualized_gdp_pc: 89326 },</v>
      </c>
    </row>
    <row r="140" spans="1:5" x14ac:dyDescent="0.35">
      <c r="A140" s="13" t="str">
        <f>TEXT(Data!A148,"yyyy") &amp; "-Q" &amp; CHOOSE(MONTH(Data!A148),1,1,1,2,2,2,3,3,3,4,4,4)</f>
        <v>2015-Q3</v>
      </c>
      <c r="B140" s="15">
        <f>Data!C148*4</f>
        <v>2147992</v>
      </c>
      <c r="C140" s="14">
        <f>Data!B148*1000</f>
        <v>23904300</v>
      </c>
      <c r="D140" s="16">
        <f t="shared" si="6"/>
        <v>89857.975343348269</v>
      </c>
      <c r="E140" t="str">
        <f t="shared" si="7"/>
        <v>{ quarter: "2015-Q3", annualized_gdp_million: 2147992, population_persons: 23904300, annualized_gdp_pc: 89858 },</v>
      </c>
    </row>
    <row r="141" spans="1:5" x14ac:dyDescent="0.35">
      <c r="A141" s="13" t="str">
        <f>TEXT(Data!A149,"yyyy") &amp; "-Q" &amp; CHOOSE(MONTH(Data!A149),1,1,1,2,2,2,3,3,3,4,4,4)</f>
        <v>2015-Q4</v>
      </c>
      <c r="B141" s="15">
        <f>Data!C149*4</f>
        <v>2161448</v>
      </c>
      <c r="C141" s="14">
        <f>Data!B149*1000</f>
        <v>23984600</v>
      </c>
      <c r="D141" s="16">
        <f t="shared" si="6"/>
        <v>90118.159152122607</v>
      </c>
      <c r="E141" t="str">
        <f t="shared" si="7"/>
        <v>{ quarter: "2015-Q4", annualized_gdp_million: 2161448, population_persons: 23984600, annualized_gdp_pc: 90118 },</v>
      </c>
    </row>
    <row r="142" spans="1:5" x14ac:dyDescent="0.35">
      <c r="A142" s="13" t="str">
        <f>TEXT(Data!A150,"yyyy") &amp; "-Q" &amp; CHOOSE(MONTH(Data!A150),1,1,1,2,2,2,3,3,3,4,4,4)</f>
        <v>2016-Q1</v>
      </c>
      <c r="B142" s="15">
        <f>Data!C150*4</f>
        <v>2181436</v>
      </c>
      <c r="C142" s="14">
        <f>Data!B150*1000</f>
        <v>24103400</v>
      </c>
      <c r="D142" s="16">
        <f t="shared" si="6"/>
        <v>90503.248504360381</v>
      </c>
      <c r="E142" t="str">
        <f t="shared" si="7"/>
        <v>{ quarter: "2016-Q1", annualized_gdp_million: 2181436, population_persons: 24103400, annualized_gdp_pc: 90503 },</v>
      </c>
    </row>
    <row r="143" spans="1:5" x14ac:dyDescent="0.35">
      <c r="A143" s="13" t="str">
        <f>TEXT(Data!A151,"yyyy") &amp; "-Q" &amp; CHOOSE(MONTH(Data!A151),1,1,1,2,2,2,3,3,3,4,4,4)</f>
        <v>2016-Q2</v>
      </c>
      <c r="B143" s="15">
        <f>Data!C151*4</f>
        <v>2195416</v>
      </c>
      <c r="C143" s="14">
        <f>Data!B151*1000</f>
        <v>24190900</v>
      </c>
      <c r="D143" s="16">
        <f t="shared" si="6"/>
        <v>90753.795848852256</v>
      </c>
      <c r="E143" t="str">
        <f t="shared" si="7"/>
        <v>{ quarter: "2016-Q2", annualized_gdp_million: 2195416, population_persons: 24190900, annualized_gdp_pc: 90754 },</v>
      </c>
    </row>
    <row r="144" spans="1:5" x14ac:dyDescent="0.35">
      <c r="A144" s="13" t="str">
        <f>TEXT(Data!A152,"yyyy") &amp; "-Q" &amp; CHOOSE(MONTH(Data!A152),1,1,1,2,2,2,3,3,3,4,4,4)</f>
        <v>2016-Q3</v>
      </c>
      <c r="B144" s="15">
        <f>Data!C152*4</f>
        <v>2195140</v>
      </c>
      <c r="C144" s="14">
        <f>Data!B152*1000</f>
        <v>24297500</v>
      </c>
      <c r="D144" s="16">
        <f t="shared" si="6"/>
        <v>90344.274102273892</v>
      </c>
      <c r="E144" t="str">
        <f t="shared" si="7"/>
        <v>{ quarter: "2016-Q3", annualized_gdp_million: 2195140, population_persons: 24297500, annualized_gdp_pc: 90344 },</v>
      </c>
    </row>
    <row r="145" spans="1:5" x14ac:dyDescent="0.35">
      <c r="A145" s="13" t="str">
        <f>TEXT(Data!A153,"yyyy") &amp; "-Q" &amp; CHOOSE(MONTH(Data!A153),1,1,1,2,2,2,3,3,3,4,4,4)</f>
        <v>2016-Q4</v>
      </c>
      <c r="B145" s="15">
        <f>Data!C153*4</f>
        <v>2220528</v>
      </c>
      <c r="C145" s="14">
        <f>Data!B153*1000</f>
        <v>24385100</v>
      </c>
      <c r="D145" s="16">
        <f t="shared" si="6"/>
        <v>91060.852733841573</v>
      </c>
      <c r="E145" t="str">
        <f t="shared" si="7"/>
        <v>{ quarter: "2016-Q4", annualized_gdp_million: 2220528, population_persons: 24385100, annualized_gdp_pc: 91061 },</v>
      </c>
    </row>
    <row r="146" spans="1:5" x14ac:dyDescent="0.35">
      <c r="A146" s="13" t="str">
        <f>TEXT(Data!A154,"yyyy") &amp; "-Q" &amp; CHOOSE(MONTH(Data!A154),1,1,1,2,2,2,3,3,3,4,4,4)</f>
        <v>2017-Q1</v>
      </c>
      <c r="B146" s="15">
        <f>Data!C154*4</f>
        <v>2227540</v>
      </c>
      <c r="C146" s="14">
        <f>Data!B154*1000</f>
        <v>24511400</v>
      </c>
      <c r="D146" s="16">
        <f t="shared" si="6"/>
        <v>90877.714043261498</v>
      </c>
      <c r="E146" t="str">
        <f t="shared" si="7"/>
        <v>{ quarter: "2017-Q1", annualized_gdp_million: 2227540, population_persons: 24511400, annualized_gdp_pc: 90878 },</v>
      </c>
    </row>
    <row r="147" spans="1:5" x14ac:dyDescent="0.35">
      <c r="A147" s="13" t="str">
        <f>TEXT(Data!A155,"yyyy") &amp; "-Q" &amp; CHOOSE(MONTH(Data!A155),1,1,1,2,2,2,3,3,3,4,4,4)</f>
        <v>2017-Q2</v>
      </c>
      <c r="B147" s="15">
        <f>Data!C155*4</f>
        <v>2241096</v>
      </c>
      <c r="C147" s="14">
        <f>Data!B155*1000</f>
        <v>24592600</v>
      </c>
      <c r="D147" s="16">
        <f>(B147*1000000)/C147</f>
        <v>91128.876166001151</v>
      </c>
      <c r="E147" t="str">
        <f t="shared" si="7"/>
        <v>{ quarter: "2017-Q2", annualized_gdp_million: 2241096, population_persons: 24592600, annualized_gdp_pc: 91129 },</v>
      </c>
    </row>
    <row r="148" spans="1:5" x14ac:dyDescent="0.35">
      <c r="A148" s="13" t="str">
        <f>TEXT(Data!A156,"yyyy") &amp; "-Q" &amp; CHOOSE(MONTH(Data!A156),1,1,1,2,2,2,3,3,3,4,4,4)</f>
        <v>2017-Q3</v>
      </c>
      <c r="B148" s="15">
        <f>Data!C156*4</f>
        <v>2261760</v>
      </c>
      <c r="C148" s="14">
        <f>Data!B156*1000</f>
        <v>24690100</v>
      </c>
      <c r="D148" s="16">
        <f t="shared" ref="D148:D172" si="8">(B148*1000000)/C148</f>
        <v>91605.947323016109</v>
      </c>
      <c r="E148" t="str">
        <f t="shared" si="7"/>
        <v>{ quarter: "2017-Q3", annualized_gdp_million: 2261760, population_persons: 24690100, annualized_gdp_pc: 91606 },</v>
      </c>
    </row>
    <row r="149" spans="1:5" x14ac:dyDescent="0.35">
      <c r="A149" s="13" t="str">
        <f>TEXT(Data!A157,"yyyy") &amp; "-Q" &amp; CHOOSE(MONTH(Data!A157),1,1,1,2,2,2,3,3,3,4,4,4)</f>
        <v>2017-Q4</v>
      </c>
      <c r="B149" s="15">
        <f>Data!C157*4</f>
        <v>2271376</v>
      </c>
      <c r="C149" s="14">
        <f>Data!B157*1000</f>
        <v>24759000</v>
      </c>
      <c r="D149" s="16">
        <f t="shared" si="8"/>
        <v>91739.407892079646</v>
      </c>
      <c r="E149" t="str">
        <f t="shared" si="7"/>
        <v>{ quarter: "2017-Q4", annualized_gdp_million: 2271376, population_persons: 24759000, annualized_gdp_pc: 91739 },</v>
      </c>
    </row>
    <row r="150" spans="1:5" x14ac:dyDescent="0.35">
      <c r="A150" s="13" t="str">
        <f>TEXT(Data!A158,"yyyy") &amp; "-Q" &amp; CHOOSE(MONTH(Data!A158),1,1,1,2,2,2,3,3,3,4,4,4)</f>
        <v>2018-Q1</v>
      </c>
      <c r="B150" s="15">
        <f>Data!C158*4</f>
        <v>2294976</v>
      </c>
      <c r="C150" s="14">
        <f>Data!B158*1000</f>
        <v>24881800</v>
      </c>
      <c r="D150" s="16">
        <f t="shared" si="8"/>
        <v>92235.127683688479</v>
      </c>
      <c r="E150" t="str">
        <f t="shared" si="7"/>
        <v>{ quarter: "2018-Q1", annualized_gdp_million: 2294976, population_persons: 24881800, annualized_gdp_pc: 92235 },</v>
      </c>
    </row>
    <row r="151" spans="1:5" x14ac:dyDescent="0.35">
      <c r="A151" s="13" t="str">
        <f>TEXT(Data!A159,"yyyy") &amp; "-Q" &amp; CHOOSE(MONTH(Data!A159),1,1,1,2,2,2,3,3,3,4,4,4)</f>
        <v>2018-Q2</v>
      </c>
      <c r="B151" s="15">
        <f>Data!C159*4</f>
        <v>2311924</v>
      </c>
      <c r="C151" s="14">
        <f>Data!B159*1000</f>
        <v>24963300</v>
      </c>
      <c r="D151" s="16">
        <f t="shared" si="8"/>
        <v>92612.915760336167</v>
      </c>
      <c r="E151" t="str">
        <f t="shared" si="7"/>
        <v>{ quarter: "2018-Q2", annualized_gdp_million: 2311924, population_persons: 24963300, annualized_gdp_pc: 92613 },</v>
      </c>
    </row>
    <row r="152" spans="1:5" x14ac:dyDescent="0.35">
      <c r="A152" s="13" t="str">
        <f>TEXT(Data!A160,"yyyy") &amp; "-Q" &amp; CHOOSE(MONTH(Data!A160),1,1,1,2,2,2,3,3,3,4,4,4)</f>
        <v>2018-Q3</v>
      </c>
      <c r="B152" s="15">
        <f>Data!C160*4</f>
        <v>2320292</v>
      </c>
      <c r="C152" s="14">
        <f>Data!B160*1000</f>
        <v>25067400</v>
      </c>
      <c r="D152" s="16">
        <f t="shared" si="8"/>
        <v>92562.132490804797</v>
      </c>
      <c r="E152" t="str">
        <f t="shared" si="7"/>
        <v>{ quarter: "2018-Q3", annualized_gdp_million: 2320292, population_persons: 25067400, annualized_gdp_pc: 92562 },</v>
      </c>
    </row>
    <row r="153" spans="1:5" x14ac:dyDescent="0.35">
      <c r="A153" s="13" t="str">
        <f>TEXT(Data!A161,"yyyy") &amp; "-Q" &amp; CHOOSE(MONTH(Data!A161),1,1,1,2,2,2,3,3,3,4,4,4)</f>
        <v>2018-Q4</v>
      </c>
      <c r="B153" s="15">
        <f>Data!C161*4</f>
        <v>2325856</v>
      </c>
      <c r="C153" s="14">
        <f>Data!B161*1000</f>
        <v>25146100</v>
      </c>
      <c r="D153" s="16">
        <f t="shared" si="8"/>
        <v>92493.706777591753</v>
      </c>
      <c r="E153" t="str">
        <f t="shared" si="7"/>
        <v>{ quarter: "2018-Q4", annualized_gdp_million: 2325856, population_persons: 25146100, annualized_gdp_pc: 92494 },</v>
      </c>
    </row>
    <row r="154" spans="1:5" x14ac:dyDescent="0.35">
      <c r="A154" s="13" t="str">
        <f>TEXT(Data!A162,"yyyy") &amp; "-Q" &amp; CHOOSE(MONTH(Data!A162),1,1,1,2,2,2,3,3,3,4,4,4)</f>
        <v>2019-Q1</v>
      </c>
      <c r="B154" s="15">
        <f>Data!C162*4</f>
        <v>2342784</v>
      </c>
      <c r="C154" s="14">
        <f>Data!B162*1000</f>
        <v>25264900</v>
      </c>
      <c r="D154" s="16">
        <f t="shared" si="8"/>
        <v>92728.805576115483</v>
      </c>
      <c r="E154" t="str">
        <f t="shared" si="7"/>
        <v>{ quarter: "2019-Q1", annualized_gdp_million: 2342784, population_persons: 25264900, annualized_gdp_pc: 92729 },</v>
      </c>
    </row>
    <row r="155" spans="1:5" x14ac:dyDescent="0.35">
      <c r="A155" s="13" t="str">
        <f>TEXT(Data!A163,"yyyy") &amp; "-Q" &amp; CHOOSE(MONTH(Data!A163),1,1,1,2,2,2,3,3,3,4,4,4)</f>
        <v>2019-Q2</v>
      </c>
      <c r="B155" s="15">
        <f>Data!C163*4</f>
        <v>2349584</v>
      </c>
      <c r="C155" s="14">
        <f>Data!B163*1000</f>
        <v>25334800</v>
      </c>
      <c r="D155" s="16">
        <f t="shared" si="8"/>
        <v>92741.367605033389</v>
      </c>
      <c r="E155" t="str">
        <f t="shared" si="7"/>
        <v>{ quarter: "2019-Q2", annualized_gdp_million: 2349584, population_persons: 25334800, annualized_gdp_pc: 92741 },</v>
      </c>
    </row>
    <row r="156" spans="1:5" x14ac:dyDescent="0.35">
      <c r="A156" s="13" t="str">
        <f>TEXT(Data!A164,"yyyy") &amp; "-Q" &amp; CHOOSE(MONTH(Data!A164),1,1,1,2,2,2,3,3,3,4,4,4)</f>
        <v>2019-Q3</v>
      </c>
      <c r="B156" s="15">
        <f>Data!C164*4</f>
        <v>2362752</v>
      </c>
      <c r="C156" s="14">
        <f>Data!B164*1000</f>
        <v>25438100</v>
      </c>
      <c r="D156" s="16">
        <f t="shared" si="8"/>
        <v>92882.408670458884</v>
      </c>
      <c r="E156" t="str">
        <f t="shared" si="7"/>
        <v>{ quarter: "2019-Q3", annualized_gdp_million: 2362752, population_persons: 25438100, annualized_gdp_pc: 92882 },</v>
      </c>
    </row>
    <row r="157" spans="1:5" x14ac:dyDescent="0.35">
      <c r="A157" s="13" t="str">
        <f>TEXT(Data!A165,"yyyy") &amp; "-Q" &amp; CHOOSE(MONTH(Data!A165),1,1,1,2,2,2,3,3,3,4,4,4)</f>
        <v>2019-Q4</v>
      </c>
      <c r="B157" s="15">
        <f>Data!C165*4</f>
        <v>2377044</v>
      </c>
      <c r="C157" s="14">
        <f>Data!B165*1000</f>
        <v>25520500</v>
      </c>
      <c r="D157" s="16">
        <f t="shared" si="8"/>
        <v>93142.532473893531</v>
      </c>
      <c r="E157" t="str">
        <f t="shared" si="7"/>
        <v>{ quarter: "2019-Q4", annualized_gdp_million: 2377044, population_persons: 25520500, annualized_gdp_pc: 93143 },</v>
      </c>
    </row>
    <row r="158" spans="1:5" x14ac:dyDescent="0.35">
      <c r="A158" s="13" t="str">
        <f>TEXT(Data!A166,"yyyy") &amp; "-Q" &amp; CHOOSE(MONTH(Data!A166),1,1,1,2,2,2,3,3,3,4,4,4)</f>
        <v>2020-Q1</v>
      </c>
      <c r="B158" s="15">
        <f>Data!C166*4</f>
        <v>2373908</v>
      </c>
      <c r="C158" s="14">
        <f>Data!B166*1000</f>
        <v>25627900</v>
      </c>
      <c r="D158" s="16">
        <f t="shared" si="8"/>
        <v>92629.829209572374</v>
      </c>
      <c r="E158" t="str">
        <f t="shared" si="7"/>
        <v>{ quarter: "2020-Q1", annualized_gdp_million: 2373908, population_persons: 25627900, annualized_gdp_pc: 92630 },</v>
      </c>
    </row>
    <row r="159" spans="1:5" x14ac:dyDescent="0.35">
      <c r="A159" s="13" t="str">
        <f>TEXT(Data!A167,"yyyy") &amp; "-Q" &amp; CHOOSE(MONTH(Data!A167),1,1,1,2,2,2,3,3,3,4,4,4)</f>
        <v>2020-Q2</v>
      </c>
      <c r="B159" s="15">
        <f>Data!C167*4</f>
        <v>2213644</v>
      </c>
      <c r="C159" s="14">
        <f>Data!B167*1000</f>
        <v>25649200</v>
      </c>
      <c r="D159" s="16">
        <f t="shared" si="8"/>
        <v>86304.602092852801</v>
      </c>
      <c r="E159" t="str">
        <f t="shared" si="7"/>
        <v>{ quarter: "2020-Q2", annualized_gdp_million: 2213644, population_persons: 25649200, annualized_gdp_pc: 86305 },</v>
      </c>
    </row>
    <row r="160" spans="1:5" x14ac:dyDescent="0.35">
      <c r="A160" s="13" t="str">
        <f>TEXT(Data!A168,"yyyy") &amp; "-Q" &amp; CHOOSE(MONTH(Data!A168),1,1,1,2,2,2,3,3,3,4,4,4)</f>
        <v>2020-Q3</v>
      </c>
      <c r="B160" s="15">
        <f>Data!C168*4</f>
        <v>2291008</v>
      </c>
      <c r="C160" s="14">
        <f>Data!B168*1000</f>
        <v>25633300</v>
      </c>
      <c r="D160" s="16">
        <f t="shared" si="8"/>
        <v>89376.241061431807</v>
      </c>
      <c r="E160" t="str">
        <f t="shared" si="7"/>
        <v>{ quarter: "2020-Q3", annualized_gdp_million: 2291008, population_persons: 25633300, annualized_gdp_pc: 89376 },</v>
      </c>
    </row>
    <row r="161" spans="1:5" x14ac:dyDescent="0.35">
      <c r="A161" s="13" t="str">
        <f>TEXT(Data!A169,"yyyy") &amp; "-Q" &amp; CHOOSE(MONTH(Data!A169),1,1,1,2,2,2,3,3,3,4,4,4)</f>
        <v>2020-Q4</v>
      </c>
      <c r="B161" s="15">
        <f>Data!C169*4</f>
        <v>2369348</v>
      </c>
      <c r="C161" s="14">
        <f>Data!B169*1000</f>
        <v>25630700</v>
      </c>
      <c r="D161" s="16">
        <f t="shared" si="8"/>
        <v>92441.798312180312</v>
      </c>
      <c r="E161" t="str">
        <f t="shared" si="7"/>
        <v>{ quarter: "2020-Q4", annualized_gdp_million: 2369348, population_persons: 25630700, annualized_gdp_pc: 92442 },</v>
      </c>
    </row>
    <row r="162" spans="1:5" x14ac:dyDescent="0.35">
      <c r="A162" s="13" t="str">
        <f>TEXT(Data!A170,"yyyy") &amp; "-Q" &amp; CHOOSE(MONTH(Data!A170),1,1,1,2,2,2,3,3,3,4,4,4)</f>
        <v>2021-Q1</v>
      </c>
      <c r="B162" s="15">
        <f>Data!C170*4</f>
        <v>2422464</v>
      </c>
      <c r="C162" s="14">
        <f>Data!B170*1000</f>
        <v>25653000</v>
      </c>
      <c r="D162" s="16">
        <f t="shared" si="8"/>
        <v>94431.996257747625</v>
      </c>
      <c r="E162" t="str">
        <f t="shared" si="7"/>
        <v>{ quarter: "2021-Q1", annualized_gdp_million: 2422464, population_persons: 25653000, annualized_gdp_pc: 94432 },</v>
      </c>
    </row>
    <row r="163" spans="1:5" x14ac:dyDescent="0.35">
      <c r="A163" s="13" t="str">
        <f>TEXT(Data!A171,"yyyy") &amp; "-Q" &amp; CHOOSE(MONTH(Data!A171),1,1,1,2,2,2,3,3,3,4,4,4)</f>
        <v>2021-Q2</v>
      </c>
      <c r="B163" s="15">
        <f>Data!C171*4</f>
        <v>2441444</v>
      </c>
      <c r="C163" s="14">
        <f>Data!B171*1000</f>
        <v>25685400</v>
      </c>
      <c r="D163" s="16">
        <f t="shared" si="8"/>
        <v>95051.819321482239</v>
      </c>
      <c r="E163" t="str">
        <f t="shared" si="7"/>
        <v>{ quarter: "2021-Q2", annualized_gdp_million: 2441444, population_persons: 25685400, annualized_gdp_pc: 95052 },</v>
      </c>
    </row>
    <row r="164" spans="1:5" x14ac:dyDescent="0.35">
      <c r="A164" s="13" t="str">
        <f>TEXT(Data!A172,"yyyy") &amp; "-Q" &amp; CHOOSE(MONTH(Data!A172),1,1,1,2,2,2,3,3,3,4,4,4)</f>
        <v>2021-Q3</v>
      </c>
      <c r="B164" s="15">
        <f>Data!C172*4</f>
        <v>2400056</v>
      </c>
      <c r="C164" s="14">
        <f>Data!B172*1000</f>
        <v>25704800</v>
      </c>
      <c r="D164" s="16">
        <f t="shared" si="8"/>
        <v>93369.954249789924</v>
      </c>
      <c r="E164" t="str">
        <f t="shared" si="7"/>
        <v>{ quarter: "2021-Q3", annualized_gdp_million: 2400056, population_persons: 25704800, annualized_gdp_pc: 93370 },</v>
      </c>
    </row>
    <row r="165" spans="1:5" x14ac:dyDescent="0.35">
      <c r="A165" s="13" t="str">
        <f>TEXT(Data!A173,"yyyy") &amp; "-Q" &amp; CHOOSE(MONTH(Data!A173),1,1,1,2,2,2,3,3,3,4,4,4)</f>
        <v>2021-Q4</v>
      </c>
      <c r="B165" s="15">
        <f>Data!C173*4</f>
        <v>2485000</v>
      </c>
      <c r="C165" s="14">
        <f>Data!B173*1000</f>
        <v>25773800</v>
      </c>
      <c r="D165" s="16">
        <f t="shared" si="8"/>
        <v>96415.740015054049</v>
      </c>
      <c r="E165" t="str">
        <f t="shared" si="7"/>
        <v>{ quarter: "2021-Q4", annualized_gdp_million: 2485000, population_persons: 25773800, annualized_gdp_pc: 96416 },</v>
      </c>
    </row>
    <row r="166" spans="1:5" x14ac:dyDescent="0.35">
      <c r="A166" s="13" t="str">
        <f>TEXT(Data!A174,"yyyy") &amp; "-Q" &amp; CHOOSE(MONTH(Data!A174),1,1,1,2,2,2,3,3,3,4,4,4)</f>
        <v>2022-Q1</v>
      </c>
      <c r="B166" s="15">
        <f>Data!C174*4</f>
        <v>2509404</v>
      </c>
      <c r="C166" s="14">
        <f>Data!B174*1000</f>
        <v>25913000</v>
      </c>
      <c r="D166" s="16">
        <f t="shared" si="8"/>
        <v>96839.578589896963</v>
      </c>
      <c r="E166" t="str">
        <f t="shared" si="7"/>
        <v>{ quarter: "2022-Q1", annualized_gdp_million: 2509404, population_persons: 25913000, annualized_gdp_pc: 96840 },</v>
      </c>
    </row>
    <row r="167" spans="1:5" x14ac:dyDescent="0.35">
      <c r="A167" s="13" t="str">
        <f>TEXT(Data!A175,"yyyy") &amp; "-Q" &amp; CHOOSE(MONTH(Data!A175),1,1,1,2,2,2,3,3,3,4,4,4)</f>
        <v>2022-Q2</v>
      </c>
      <c r="B167" s="15">
        <f>Data!C175*4</f>
        <v>2533856</v>
      </c>
      <c r="C167" s="14">
        <f>Data!B175*1000</f>
        <v>26018700</v>
      </c>
      <c r="D167" s="16">
        <f t="shared" si="8"/>
        <v>97385.95702321791</v>
      </c>
      <c r="E167" t="str">
        <f t="shared" si="7"/>
        <v>{ quarter: "2022-Q2", annualized_gdp_million: 2533856, population_persons: 26018700, annualized_gdp_pc: 97386 },</v>
      </c>
    </row>
    <row r="168" spans="1:5" x14ac:dyDescent="0.35">
      <c r="A168" s="13" t="str">
        <f>TEXT(Data!A176,"yyyy") &amp; "-Q" &amp; CHOOSE(MONTH(Data!A176),1,1,1,2,2,2,3,3,3,4,4,4)</f>
        <v>2022-Q3</v>
      </c>
      <c r="B168" s="15">
        <f>Data!C176*4</f>
        <v>2545524</v>
      </c>
      <c r="C168" s="14">
        <f>Data!B176*1000</f>
        <v>26169300</v>
      </c>
      <c r="D168" s="16">
        <f t="shared" si="8"/>
        <v>97271.382879939469</v>
      </c>
      <c r="E168" t="str">
        <f t="shared" si="7"/>
        <v>{ quarter: "2022-Q3", annualized_gdp_million: 2545524, population_persons: 26169300, annualized_gdp_pc: 97271 },</v>
      </c>
    </row>
    <row r="169" spans="1:5" x14ac:dyDescent="0.35">
      <c r="A169" s="13" t="str">
        <f>TEXT(Data!A177,"yyyy") &amp; "-Q" &amp; CHOOSE(MONTH(Data!A177),1,1,1,2,2,2,3,3,3,4,4,4)</f>
        <v>2022-Q4</v>
      </c>
      <c r="B169" s="15">
        <f>Data!C177*4</f>
        <v>2563004</v>
      </c>
      <c r="C169" s="14">
        <f>Data!B177*1000</f>
        <v>26320300</v>
      </c>
      <c r="D169" s="16">
        <f t="shared" si="8"/>
        <v>97377.46150309837</v>
      </c>
      <c r="E169" t="str">
        <f>"{ quarter: """ &amp; A169 &amp; """, " &amp;
 "annualized_gdp_million: " &amp; TEXT(B169,"0") &amp; ", " &amp;
 "population_persons: " &amp; TEXT(C169,"0") &amp; ", " &amp;
 "annualized_gdp_pc: " &amp; TEXT(D169,"0") &amp; " },"</f>
        <v>{ quarter: "2022-Q4", annualized_gdp_million: 2563004, population_persons: 26320300, annualized_gdp_pc: 97377 },</v>
      </c>
    </row>
    <row r="170" spans="1:5" x14ac:dyDescent="0.35">
      <c r="A170" s="13" t="str">
        <f>TEXT(Data!A178,"yyyy") &amp; "-Q" &amp; CHOOSE(MONTH(Data!A178),1,1,1,2,2,2,3,3,3,4,4,4)</f>
        <v>2023-Q1</v>
      </c>
      <c r="B170" s="15">
        <f>Data!C178*4</f>
        <v>2576084</v>
      </c>
      <c r="C170" s="14">
        <f>Data!B178*1000</f>
        <v>26514300</v>
      </c>
      <c r="D170" s="16">
        <f t="shared" si="8"/>
        <v>97158.288169025778</v>
      </c>
      <c r="E170" t="str">
        <f t="shared" ref="E170:E177" si="9">"{ quarter: """ &amp; A170 &amp; """, " &amp;
 "annualized_gdp_million: " &amp; TEXT(B170,"0") &amp; ", " &amp;
 "population_persons: " &amp; TEXT(C170,"0") &amp; ", " &amp;
 "annualized_gdp_pc: " &amp; TEXT(D170,"0") &amp; " },"</f>
        <v>{ quarter: "2023-Q1", annualized_gdp_million: 2576084, population_persons: 26514300, annualized_gdp_pc: 97158 },</v>
      </c>
    </row>
    <row r="171" spans="1:5" x14ac:dyDescent="0.35">
      <c r="A171" s="13" t="str">
        <f>TEXT(Data!A179,"yyyy") &amp; "-Q" &amp; CHOOSE(MONTH(Data!A179),1,1,1,2,2,2,3,3,3,4,4,4)</f>
        <v>2023-Q2</v>
      </c>
      <c r="B171" s="15">
        <f>Data!C179*4</f>
        <v>2585440</v>
      </c>
      <c r="C171" s="14">
        <f>Data!B179*1000</f>
        <v>26659900</v>
      </c>
      <c r="D171" s="16">
        <f t="shared" si="8"/>
        <v>96978.60832186167</v>
      </c>
      <c r="E171" t="str">
        <f t="shared" si="9"/>
        <v>{ quarter: "2023-Q2", annualized_gdp_million: 2585440, population_persons: 26659900, annualized_gdp_pc: 96979 },</v>
      </c>
    </row>
    <row r="172" spans="1:5" x14ac:dyDescent="0.35">
      <c r="A172" s="13" t="str">
        <f>TEXT(Data!A180,"yyyy") &amp; "-Q" &amp; CHOOSE(MONTH(Data!A180),1,1,1,2,2,2,3,3,3,4,4,4)</f>
        <v>2023-Q3</v>
      </c>
      <c r="B172" s="15">
        <f>Data!C180*4</f>
        <v>2598380</v>
      </c>
      <c r="C172" s="14">
        <f>Data!B180*1000</f>
        <v>26832500</v>
      </c>
      <c r="D172" s="16">
        <f t="shared" si="8"/>
        <v>96837.044628715172</v>
      </c>
      <c r="E172" t="str">
        <f t="shared" si="9"/>
        <v>{ quarter: "2023-Q3", annualized_gdp_million: 2598380, population_persons: 26832500, annualized_gdp_pc: 96837 },</v>
      </c>
    </row>
    <row r="173" spans="1:5" x14ac:dyDescent="0.35">
      <c r="A173" s="13" t="str">
        <f>TEXT(Data!A181,"yyyy") &amp; "-Q" &amp; CHOOSE(MONTH(Data!A181),1,1,1,2,2,2,3,3,3,4,4,4)</f>
        <v>2023-Q4</v>
      </c>
      <c r="B173" s="15">
        <f>Data!C181*4</f>
        <v>2601620</v>
      </c>
      <c r="C173" s="14">
        <f>Data!B181*1000</f>
        <v>26954100</v>
      </c>
      <c r="D173" s="16">
        <f>(B173*1000000)/C173</f>
        <v>96520.380943900935</v>
      </c>
      <c r="E173" t="str">
        <f t="shared" si="9"/>
        <v>{ quarter: "2023-Q4", annualized_gdp_million: 2601620, population_persons: 26954100, annualized_gdp_pc: 96520 },</v>
      </c>
    </row>
    <row r="174" spans="1:5" x14ac:dyDescent="0.35">
      <c r="A174" s="13" t="str">
        <f>TEXT(Data!A182,"yyyy") &amp; "-Q" &amp; CHOOSE(MONTH(Data!A182),1,1,1,2,2,2,3,3,3,4,4,4)</f>
        <v>2024-Q1</v>
      </c>
      <c r="B174" s="15">
        <f>Data!C182*4</f>
        <v>2605780</v>
      </c>
      <c r="C174" s="14">
        <f>Data!B182*1000</f>
        <v>27113700</v>
      </c>
      <c r="D174" s="16">
        <f t="shared" ref="D174:D177" si="10">(B174*1000000)/C174</f>
        <v>96105.658762913212</v>
      </c>
      <c r="E174" t="str">
        <f t="shared" si="9"/>
        <v>{ quarter: "2024-Q1", annualized_gdp_million: 2605780, population_persons: 27113700, annualized_gdp_pc: 96106 },</v>
      </c>
    </row>
    <row r="175" spans="1:5" x14ac:dyDescent="0.35">
      <c r="A175" s="13" t="str">
        <f>TEXT(Data!A183,"yyyy") &amp; "-Q" &amp; CHOOSE(MONTH(Data!A183),1,1,1,2,2,2,3,3,3,4,4,4)</f>
        <v>2024-Q2</v>
      </c>
      <c r="B175" s="15">
        <f>Data!C183*4</f>
        <v>2609396</v>
      </c>
      <c r="C175" s="14">
        <f>Data!B183*1000</f>
        <v>27196800</v>
      </c>
      <c r="D175" s="16">
        <f t="shared" si="10"/>
        <v>95944.964113425114</v>
      </c>
      <c r="E175" t="str">
        <f t="shared" si="9"/>
        <v>{ quarter: "2024-Q2", annualized_gdp_million: 2609396, population_persons: 27196800, annualized_gdp_pc: 95945 },</v>
      </c>
    </row>
    <row r="176" spans="1:5" x14ac:dyDescent="0.35">
      <c r="A176" s="13" t="str">
        <f>TEXT(Data!A184,"yyyy") &amp; "-Q" &amp; CHOOSE(MONTH(Data!A184),1,1,1,2,2,2,3,3,3,4,4,4)</f>
        <v>2024-Q3</v>
      </c>
      <c r="B176" s="15">
        <f>Data!C184*4</f>
        <v>2618152</v>
      </c>
      <c r="C176" s="14">
        <f>Data!B184*1000</f>
        <v>27308900</v>
      </c>
      <c r="D176" s="16">
        <f t="shared" si="10"/>
        <v>95871.748770547332</v>
      </c>
      <c r="E176" t="str">
        <f t="shared" si="9"/>
        <v>{ quarter: "2024-Q3", annualized_gdp_million: 2618152, population_persons: 27308900, annualized_gdp_pc: 95872 },</v>
      </c>
    </row>
    <row r="177" spans="1:5" x14ac:dyDescent="0.35">
      <c r="A177" s="13" t="str">
        <f>TEXT(Data!A185,"yyyy") &amp; "-Q" &amp; CHOOSE(MONTH(Data!A185),1,1,1,2,2,2,3,3,3,4,4,4)</f>
        <v>2024-Q4</v>
      </c>
      <c r="B177" s="15">
        <f>Data!C185*4</f>
        <v>2634188</v>
      </c>
      <c r="C177" s="14">
        <f>Data!B185*1000</f>
        <v>27400000</v>
      </c>
      <c r="D177" s="16">
        <f t="shared" si="10"/>
        <v>96138.248175182482</v>
      </c>
      <c r="E177" t="str">
        <f t="shared" si="9"/>
        <v>{ quarter: "2024-Q4", annualized_gdp_million: 2634188, population_persons: 27400000, annualized_gdp_pc: 96138 },</v>
      </c>
    </row>
    <row r="178" spans="1:5" x14ac:dyDescent="0.35">
      <c r="A178" s="13"/>
    </row>
    <row r="179" spans="1:5" x14ac:dyDescent="0.35">
      <c r="A179" s="13"/>
    </row>
    <row r="180" spans="1:5" x14ac:dyDescent="0.35">
      <c r="A180" s="13"/>
    </row>
    <row r="181" spans="1:5" x14ac:dyDescent="0.35">
      <c r="A181" s="13"/>
    </row>
    <row r="182" spans="1:5" x14ac:dyDescent="0.35">
      <c r="A182" s="13"/>
    </row>
    <row r="183" spans="1:5" x14ac:dyDescent="0.35">
      <c r="A183" s="13"/>
    </row>
    <row r="184" spans="1:5" x14ac:dyDescent="0.35">
      <c r="A184" s="13"/>
    </row>
    <row r="185" spans="1:5" x14ac:dyDescent="0.35">
      <c r="A185" s="13"/>
    </row>
    <row r="186" spans="1:5" x14ac:dyDescent="0.35">
      <c r="A186" s="13"/>
    </row>
    <row r="187" spans="1:5" x14ac:dyDescent="0.35">
      <c r="A187" s="1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Working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Berg</dc:creator>
  <cp:lastModifiedBy>Chris Berg</cp:lastModifiedBy>
  <dcterms:created xsi:type="dcterms:W3CDTF">2025-09-16T08:16:02Z</dcterms:created>
  <dcterms:modified xsi:type="dcterms:W3CDTF">2025-09-16T23:14:46Z</dcterms:modified>
</cp:coreProperties>
</file>